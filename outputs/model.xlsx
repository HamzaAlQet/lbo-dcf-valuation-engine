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IS" sheetId="3" state="visible" r:id="rId3"/>
    <sheet name="BS" sheetId="4" state="visible" r:id="rId4"/>
    <sheet name="CFS" sheetId="5" state="visible" r:id="rId5"/>
    <sheet name="Debt" sheetId="6" state="visible" r:id="rId6"/>
    <sheet name="DCF" sheetId="7" state="visible" r:id="rId7"/>
    <sheet name="LBO" sheetId="8" state="visible" r:id="rId8"/>
    <sheet name="Sensitivity" sheetId="9" state="visible" r:id="rId9"/>
    <sheet name="Scenarios" sheetId="10" state="visible" r:id="rId10"/>
    <sheet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&quot;FY&quot;0&quot;A&quot;"/>
    <numFmt numFmtId="165" formatCode="&quot;FY&quot;0&quot;E&quot;"/>
    <numFmt numFmtId="166" formatCode="$#,##0.00_);($#,##0.00)"/>
    <numFmt numFmtId="167" formatCode="0.00%_);(0.00%);&quot;-&quot;_)"/>
    <numFmt numFmtId="168" formatCode="0.0000_)"/>
    <numFmt numFmtId="169" formatCode="0.0%_);(0.0%);&quot;-&quot;_)"/>
    <numFmt numFmtId="170" formatCode="0.0&quot;x&quot;_);(0.0&quot;x&quot;)"/>
    <numFmt numFmtId="171" formatCode="0_)"/>
    <numFmt numFmtId="172" formatCode="#,##0.0_);(#,##0.0);&quot;-&quot;_)"/>
    <numFmt numFmtId="173" formatCode="#,##0_);(#,##0);&quot;-&quot;_)"/>
    <numFmt numFmtId="174" formatCode="0.0_)"/>
    <numFmt numFmtId="175" formatCode="0.00&quot;x&quot;"/>
  </numFmts>
  <fonts count="2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FFFFFF"/>
    </font>
    <font>
      <name val="Calibri"/>
      <b val="1"/>
      <color rgb="001F3864"/>
    </font>
    <font>
      <name val="Calibri"/>
      <color rgb="00000000"/>
    </font>
    <font>
      <name val="Calibri"/>
      <color rgb="000000FF"/>
    </font>
    <font>
      <name val="Calibri"/>
      <color rgb="00595959"/>
      <sz val="9"/>
    </font>
    <font>
      <name val="Calibri"/>
      <color rgb="00008000"/>
    </font>
    <font>
      <name val="Calibri"/>
      <b val="1"/>
      <color rgb="00000000"/>
    </font>
    <font>
      <name val="Calibri"/>
      <b val="1"/>
      <color rgb="000000FF"/>
    </font>
    <font>
      <name val="Calibri"/>
      <b val="1"/>
      <color rgb="00008000"/>
    </font>
    <font>
      <name val="Calibri"/>
      <i val="1"/>
      <color rgb="00000000"/>
    </font>
    <font>
      <name val="Calibri"/>
      <i val="1"/>
      <color rgb="00008000"/>
    </font>
    <font>
      <name val="Calibri"/>
      <i val="1"/>
      <color rgb="00C00000"/>
    </font>
    <font>
      <name val="Calibri"/>
      <color rgb="00C00000"/>
    </font>
    <font>
      <name val="Calibri"/>
      <b val="1"/>
      <sz val="9"/>
    </font>
    <font>
      <name val="Calibri"/>
      <i val="1"/>
      <color rgb="00404040"/>
    </font>
    <font>
      <name val="Calibri"/>
      <b val="1"/>
      <i val="1"/>
      <color rgb="00404040"/>
    </font>
    <font>
      <name val="Calibri"/>
    </font>
    <font>
      <name val="Calibri"/>
      <color rgb="00404040"/>
    </font>
    <font>
      <name val="Calibri"/>
      <b val="1"/>
    </font>
    <font>
      <name val="Calibri"/>
      <b val="1"/>
      <color rgb="00404040"/>
    </font>
    <font>
      <name val="Calibri"/>
      <b val="1"/>
      <color rgb="00C00000"/>
    </font>
    <font>
      <name val="Calibri"/>
      <b val="1"/>
      <color rgb="001F3864"/>
      <sz val="20"/>
    </font>
    <font>
      <name val="Calibri"/>
      <i val="1"/>
      <color rgb="00595959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top style="thin">
        <color rgb="00808080"/>
      </top>
    </border>
    <border>
      <top style="thin">
        <color rgb="00808080"/>
      </top>
      <bottom style="double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19" fillId="0" borderId="0" pivotButton="0" quotePrefix="0" xfId="0"/>
    <xf numFmtId="49" fontId="9" fillId="0" borderId="0" applyAlignment="1" pivotButton="0" quotePrefix="0" xfId="0">
      <alignment horizontal="right"/>
    </xf>
    <xf numFmtId="0" fontId="21" fillId="0" borderId="0" pivotButton="0" quotePrefix="0" xfId="0"/>
    <xf numFmtId="166" fontId="11" fillId="0" borderId="0" applyAlignment="1" pivotButton="0" quotePrefix="0" xfId="0">
      <alignment horizontal="right"/>
    </xf>
    <xf numFmtId="167" fontId="11" fillId="0" borderId="0" applyAlignment="1" pivotButton="0" quotePrefix="0" xfId="0">
      <alignment horizontal="right"/>
    </xf>
    <xf numFmtId="170" fontId="11" fillId="0" borderId="0" applyAlignment="1" pivotButton="0" quotePrefix="0" xfId="0">
      <alignment horizontal="right"/>
    </xf>
    <xf numFmtId="173" fontId="11" fillId="0" borderId="0" applyAlignment="1" pivotButton="0" quotePrefix="0" xfId="0">
      <alignment horizontal="right"/>
    </xf>
    <xf numFmtId="169" fontId="11" fillId="0" borderId="0" applyAlignment="1" pivotButton="0" quotePrefix="0" xfId="0">
      <alignment horizontal="right"/>
    </xf>
    <xf numFmtId="49" fontId="11" fillId="0" borderId="0" applyAlignment="1" pivotButton="0" quotePrefix="0" xfId="0">
      <alignment horizontal="right"/>
    </xf>
    <xf numFmtId="0" fontId="26" fillId="0" borderId="0" pivotButton="0" quotePrefix="0" xfId="0"/>
    <xf numFmtId="0" fontId="2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2" borderId="0" pivotButton="0" quotePrefix="0" xfId="0"/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0" fontId="4" fillId="4" borderId="0" pivotButton="0" quotePrefix="0" xfId="0"/>
    <xf numFmtId="0" fontId="5" fillId="0" borderId="0" pivotButton="0" quotePrefix="0" xfId="0"/>
    <xf numFmtId="166" fontId="6" fillId="5" borderId="0" pivotButton="0" quotePrefix="0" xfId="0"/>
    <xf numFmtId="167" fontId="6" fillId="5" borderId="0" pivotButton="0" quotePrefix="0" xfId="0"/>
    <xf numFmtId="168" fontId="6" fillId="5" borderId="0" pivotButton="0" quotePrefix="0" xfId="0"/>
    <xf numFmtId="169" fontId="6" fillId="5" borderId="0" pivotButton="0" quotePrefix="0" xfId="0"/>
    <xf numFmtId="170" fontId="6" fillId="5" borderId="0" pivotButton="0" quotePrefix="0" xfId="0"/>
    <xf numFmtId="171" fontId="6" fillId="5" borderId="0" pivotButton="0" quotePrefix="0" xfId="0"/>
    <xf numFmtId="169" fontId="5" fillId="0" borderId="0" pivotButton="0" quotePrefix="0" xfId="0"/>
    <xf numFmtId="0" fontId="7" fillId="0" borderId="0" pivotButton="0" quotePrefix="0" xfId="0"/>
    <xf numFmtId="172" fontId="6" fillId="5" borderId="0" pivotButton="0" quotePrefix="0" xfId="0"/>
    <xf numFmtId="172" fontId="5" fillId="0" borderId="0" pivotButton="0" quotePrefix="0" xfId="0"/>
    <xf numFmtId="173" fontId="6" fillId="5" borderId="0" pivotButton="0" quotePrefix="0" xfId="0"/>
    <xf numFmtId="169" fontId="8" fillId="0" borderId="0" pivotButton="0" quotePrefix="0" xfId="0"/>
    <xf numFmtId="174" fontId="8" fillId="0" borderId="0" pivotButton="0" quotePrefix="0" xfId="0"/>
    <xf numFmtId="174" fontId="5" fillId="0" borderId="0" pivotButton="0" quotePrefix="0" xfId="0"/>
    <xf numFmtId="167" fontId="5" fillId="0" borderId="0" pivotButton="0" quotePrefix="0" xfId="0"/>
    <xf numFmtId="167" fontId="8" fillId="0" borderId="0" pivotButton="0" quotePrefix="0" xfId="0"/>
    <xf numFmtId="0" fontId="9" fillId="0" borderId="0" pivotButton="0" quotePrefix="0" xfId="0"/>
    <xf numFmtId="173" fontId="10" fillId="0" borderId="1" pivotButton="0" quotePrefix="0" xfId="0"/>
    <xf numFmtId="173" fontId="11" fillId="0" borderId="1" pivotButton="0" quotePrefix="0" xfId="0"/>
    <xf numFmtId="173" fontId="6" fillId="0" borderId="0" pivotButton="0" quotePrefix="0" xfId="0"/>
    <xf numFmtId="173" fontId="8" fillId="0" borderId="0" pivotButton="0" quotePrefix="0" xfId="0"/>
    <xf numFmtId="173" fontId="9" fillId="0" borderId="1" pivotButton="0" quotePrefix="0" xfId="0"/>
    <xf numFmtId="0" fontId="12" fillId="0" borderId="0" pivotButton="0" quotePrefix="0" xfId="0"/>
    <xf numFmtId="169" fontId="12" fillId="0" borderId="0" pivotButton="0" quotePrefix="0" xfId="0"/>
    <xf numFmtId="173" fontId="13" fillId="0" borderId="0" pivotButton="0" quotePrefix="0" xfId="0"/>
    <xf numFmtId="173" fontId="5" fillId="0" borderId="0" pivotButton="0" quotePrefix="0" xfId="0"/>
    <xf numFmtId="173" fontId="9" fillId="0" borderId="2" pivotButton="0" quotePrefix="0" xfId="0"/>
    <xf numFmtId="172" fontId="6" fillId="0" borderId="0" pivotButton="0" quotePrefix="0" xfId="0"/>
    <xf numFmtId="172" fontId="8" fillId="0" borderId="0" pivotButton="0" quotePrefix="0" xfId="0"/>
    <xf numFmtId="166" fontId="5" fillId="0" borderId="0" pivotButton="0" quotePrefix="0" xfId="0"/>
    <xf numFmtId="0" fontId="14" fillId="0" borderId="0" pivotButton="0" quotePrefix="0" xfId="0"/>
    <xf numFmtId="173" fontId="15" fillId="0" borderId="0" pivotButton="0" quotePrefix="0" xfId="0"/>
    <xf numFmtId="0" fontId="4" fillId="4" borderId="0" applyAlignment="1" pivotButton="0" quotePrefix="0" xfId="0">
      <alignment horizontal="right"/>
    </xf>
    <xf numFmtId="49" fontId="5" fillId="0" borderId="0" applyAlignment="1" pivotButton="0" quotePrefix="0" xfId="0">
      <alignment horizontal="left"/>
    </xf>
    <xf numFmtId="167" fontId="6" fillId="0" borderId="0" pivotButton="0" quotePrefix="0" xfId="0"/>
    <xf numFmtId="171" fontId="6" fillId="0" borderId="0" pivotButton="0" quotePrefix="0" xfId="0"/>
    <xf numFmtId="167" fontId="9" fillId="0" borderId="2" pivotButton="0" quotePrefix="0" xfId="0"/>
    <xf numFmtId="166" fontId="8" fillId="0" borderId="0" pivotButton="0" quotePrefix="0" xfId="0"/>
    <xf numFmtId="168" fontId="8" fillId="0" borderId="0" pivotButton="0" quotePrefix="0" xfId="0"/>
    <xf numFmtId="167" fontId="9" fillId="0" borderId="1" pivotButton="0" quotePrefix="0" xfId="0"/>
    <xf numFmtId="171" fontId="5" fillId="0" borderId="0" pivotButton="0" quotePrefix="0" xfId="0"/>
    <xf numFmtId="168" fontId="5" fillId="0" borderId="0" pivotButton="0" quotePrefix="0" xfId="0"/>
    <xf numFmtId="170" fontId="8" fillId="0" borderId="0" pivotButton="0" quotePrefix="0" xfId="0"/>
    <xf numFmtId="166" fontId="9" fillId="0" borderId="2" pivotButton="0" quotePrefix="0" xfId="0"/>
    <xf numFmtId="170" fontId="5" fillId="0" borderId="0" pivotButton="0" quotePrefix="0" xfId="0"/>
    <xf numFmtId="49" fontId="5" fillId="0" borderId="0" pivotButton="0" quotePrefix="0" xfId="0"/>
    <xf numFmtId="170" fontId="9" fillId="0" borderId="2" pivotButton="0" quotePrefix="0" xfId="0"/>
    <xf numFmtId="169" fontId="9" fillId="0" borderId="2" pivotButton="0" quotePrefix="0" xfId="0"/>
    <xf numFmtId="0" fontId="16" fillId="0" borderId="0" pivotButton="0" quotePrefix="0" xfId="0"/>
    <xf numFmtId="169" fontId="3" fillId="2" borderId="0" pivotButton="0" quotePrefix="0" xfId="0"/>
    <xf numFmtId="166" fontId="9" fillId="0" borderId="3" pivotButton="0" quotePrefix="0" xfId="0"/>
    <xf numFmtId="170" fontId="3" fillId="2" borderId="0" pivotButton="0" quotePrefix="0" xfId="0"/>
    <xf numFmtId="169" fontId="17" fillId="0" borderId="0" pivotButton="0" quotePrefix="0" xfId="0"/>
    <xf numFmtId="169" fontId="18" fillId="0" borderId="3" pivotButton="0" quotePrefix="0" xfId="0"/>
    <xf numFmtId="175" fontId="17" fillId="0" borderId="0" pivotButton="0" quotePrefix="0" xfId="0"/>
    <xf numFmtId="175" fontId="18" fillId="0" borderId="3" pivotButton="0" quotePrefix="0" xfId="0"/>
    <xf numFmtId="0" fontId="3" fillId="2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9" fontId="20" fillId="0" borderId="0" pivotButton="0" quotePrefix="0" xfId="0"/>
    <xf numFmtId="170" fontId="20" fillId="0" borderId="0" pivotButton="0" quotePrefix="0" xfId="0"/>
    <xf numFmtId="173" fontId="20" fillId="0" borderId="0" pivotButton="0" quotePrefix="0" xfId="0"/>
    <xf numFmtId="166" fontId="20" fillId="0" borderId="0" pivotButton="0" quotePrefix="0" xfId="0"/>
    <xf numFmtId="175" fontId="22" fillId="0" borderId="0" pivotButton="0" quotePrefix="0" xfId="0"/>
    <xf numFmtId="169" fontId="22" fillId="0" borderId="0" pivotButton="0" quotePrefix="0" xfId="0"/>
    <xf numFmtId="0" fontId="23" fillId="0" borderId="0" pivotButton="0" quotePrefix="0" xfId="0"/>
    <xf numFmtId="0" fontId="11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8" customWidth="1" min="4" max="4"/>
  </cols>
  <sheetData>
    <row r="2">
      <c r="B2" s="1" t="inlineStr">
        <is>
          <t>Apple Inc.: Valuation Model</t>
        </is>
      </c>
    </row>
    <row r="3">
      <c r="B3" s="2" t="inlineStr">
        <is>
          <t>3-statement projection, DCF and hypothetical take-private LBO stress test</t>
        </is>
      </c>
    </row>
    <row r="5">
      <c r="B5" s="3" t="inlineStr">
        <is>
          <t>Source filing</t>
        </is>
      </c>
      <c r="C5" s="4" t="inlineStr">
        <is>
          <t>10-K, fiscal year ended 26 September 2015</t>
        </is>
      </c>
    </row>
    <row r="6">
      <c r="B6" s="5" t="inlineStr">
        <is>
          <t>SEC CIK</t>
        </is>
      </c>
      <c r="C6" s="4" t="inlineStr">
        <is>
          <t>320193</t>
        </is>
      </c>
    </row>
    <row r="7">
      <c r="B7" s="3" t="inlineStr">
        <is>
          <t>Model generated</t>
        </is>
      </c>
      <c r="C7" s="4" t="inlineStr">
        <is>
          <t>23 October 2026</t>
        </is>
      </c>
    </row>
    <row r="8">
      <c r="B8" s="3" t="inlineStr"/>
    </row>
    <row r="9">
      <c r="B9" s="3" t="inlineStr">
        <is>
          <t>KEY OUTPUTS (linked)</t>
        </is>
      </c>
    </row>
    <row r="10">
      <c r="B10" s="3" t="inlineStr">
        <is>
          <t>Current share price</t>
        </is>
      </c>
      <c r="C10" s="6">
        <f>'Inputs'!D7</f>
        <v/>
      </c>
    </row>
    <row r="11">
      <c r="B11" s="3" t="inlineStr">
        <is>
          <t>DCF implied share price: Gordon Growth</t>
        </is>
      </c>
      <c r="C11" s="6">
        <f>'DCF'!D49</f>
        <v/>
      </c>
    </row>
    <row r="12">
      <c r="B12" s="3" t="inlineStr">
        <is>
          <t>DCF implied share price: Exit Multiple</t>
        </is>
      </c>
      <c r="C12" s="6">
        <f>'DCF'!E49</f>
        <v/>
      </c>
    </row>
    <row r="13">
      <c r="B13" s="5" t="inlineStr">
        <is>
          <t>WACC</t>
        </is>
      </c>
      <c r="C13" s="7">
        <f>'DCF'!D21</f>
        <v/>
      </c>
    </row>
    <row r="14">
      <c r="B14" s="3" t="inlineStr">
        <is>
          <t>LBO entry EV / EBITDA</t>
        </is>
      </c>
      <c r="C14" s="8">
        <f>'LBO'!D8</f>
        <v/>
      </c>
    </row>
    <row r="15">
      <c r="B15" s="3" t="inlineStr">
        <is>
          <t>LBO implied offer price</t>
        </is>
      </c>
      <c r="C15" s="6">
        <f>'LBO'!D14</f>
        <v/>
      </c>
    </row>
    <row r="16">
      <c r="B16" s="3" t="inlineStr">
        <is>
          <t>Sponsor equity cheque</t>
        </is>
      </c>
      <c r="C16" s="9">
        <f>'LBO'!D39</f>
        <v/>
      </c>
    </row>
    <row r="17">
      <c r="B17" s="3" t="inlineStr">
        <is>
          <t>Sponsor MOIC</t>
        </is>
      </c>
      <c r="C17" s="8">
        <f>'LBO'!D100</f>
        <v/>
      </c>
    </row>
    <row r="18">
      <c r="B18" s="3" t="inlineStr">
        <is>
          <t>Sponsor IRR</t>
        </is>
      </c>
      <c r="C18" s="10">
        <f>'LBO'!D101</f>
        <v/>
      </c>
    </row>
    <row r="19">
      <c r="B19" s="3" t="inlineStr">
        <is>
          <t>Model integrity (all checks)</t>
        </is>
      </c>
      <c r="C19" s="11">
        <f>Checks!C4</f>
        <v/>
      </c>
    </row>
    <row r="20">
      <c r="B20" s="3" t="inlineStr">
        <is>
          <t>Investment committee recommendation</t>
        </is>
      </c>
      <c r="C20" s="4" t="inlineStr">
        <is>
          <t>PASS</t>
        </is>
      </c>
    </row>
    <row r="22">
      <c r="B22" s="12" t="inlineStr">
        <is>
          <t>CONTENTS</t>
        </is>
      </c>
    </row>
    <row r="23">
      <c r="B23" s="13" t="inlineStr">
        <is>
          <t>Inputs: market, operating and transaction assumptions (all hard-coded inputs live here)</t>
        </is>
      </c>
    </row>
    <row r="24">
      <c r="B24" s="13" t="inlineStr">
        <is>
          <t>IS / BS / CFS: linked three-statement model, historical and projected</t>
        </is>
      </c>
    </row>
    <row r="25">
      <c r="B25" s="13" t="inlineStr">
        <is>
          <t>Debt: existing debt tranches from the 10-K, reconciled to the balance sheet</t>
        </is>
      </c>
    </row>
    <row r="26">
      <c r="B26" s="13" t="inlineStr">
        <is>
          <t>DCF: WACC, unlevered FCF, Gordon Growth and Exit Multiple valuation</t>
        </is>
      </c>
    </row>
    <row r="27">
      <c r="B27" s="13" t="inlineStr">
        <is>
          <t>LBO: sources &amp; uses, cash sweep waterfall, covenants, sponsor returns</t>
        </is>
      </c>
    </row>
    <row r="28">
      <c r="B28" s="13" t="inlineStr">
        <is>
          <t>Checks: every accounting identity, with a master check</t>
        </is>
      </c>
    </row>
    <row r="29">
      <c r="B29" s="13" t="inlineStr"/>
    </row>
    <row r="30">
      <c r="B30" s="12" t="inlineStr">
        <is>
          <t>CONVENTIONS</t>
        </is>
      </c>
    </row>
    <row r="31">
      <c r="B31" s="13" t="inlineStr">
        <is>
          <t>Interest is calculated on beginning-of-year balances (no circular references).</t>
        </is>
      </c>
    </row>
    <row r="32">
      <c r="B32" s="13" t="inlineStr">
        <is>
          <t>Funded debt is refinanced (held flat) in the standalone projection.</t>
        </is>
      </c>
    </row>
    <row r="33">
      <c r="B33" s="13" t="inlineStr">
        <is>
          <t>Offshore cash is valued net of the repatriation tax implied by the 10-K.</t>
        </is>
      </c>
    </row>
    <row r="34">
      <c r="B34" s="13" t="inlineStr">
        <is>
          <t>Apple is far beyond any realised LBO size; the LBO is a hypothetical stress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K7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4" t="inlineStr">
        <is>
          <t>Apple Inc.: Assumptions &amp; Inputs</t>
        </is>
      </c>
    </row>
    <row r="2">
      <c r="B2" s="15" t="inlineStr">
        <is>
          <t>USD in millions, except per-share data. Blue = input / reported, black = formula, green = link to another sheet.</t>
        </is>
      </c>
    </row>
    <row r="3">
      <c r="D3" s="16" t="inlineStr">
        <is>
          <t>Historical (actual ratios)</t>
        </is>
      </c>
      <c r="E3" s="17" t="n"/>
      <c r="F3" s="17" t="n"/>
      <c r="G3" s="18" t="inlineStr">
        <is>
          <t>Projection drivers</t>
        </is>
      </c>
      <c r="H3" s="19" t="n"/>
      <c r="I3" s="19" t="n"/>
      <c r="J3" s="19" t="n"/>
      <c r="K3" s="19" t="n"/>
    </row>
    <row r="4">
      <c r="B4" s="20" t="inlineStr">
        <is>
          <t>Fiscal year ending September</t>
        </is>
      </c>
      <c r="C4" s="17" t="n"/>
      <c r="D4" s="21" t="n">
        <v>2013</v>
      </c>
      <c r="E4" s="21" t="n">
        <v>2014</v>
      </c>
      <c r="F4" s="21" t="n">
        <v>2015</v>
      </c>
      <c r="G4" s="22" t="n">
        <v>2016</v>
      </c>
      <c r="H4" s="22" t="n">
        <v>2017</v>
      </c>
      <c r="I4" s="22" t="n">
        <v>2018</v>
      </c>
      <c r="J4" s="22" t="n">
        <v>2019</v>
      </c>
      <c r="K4" s="22" t="n">
        <v>2020</v>
      </c>
    </row>
    <row r="6">
      <c r="B6" s="23" t="inlineStr">
        <is>
          <t>Market &amp; valuation inputs</t>
        </is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B7" s="24" t="inlineStr">
        <is>
          <t>Current share price</t>
        </is>
      </c>
      <c r="D7" s="25" t="n">
        <v>114.71</v>
      </c>
    </row>
    <row r="8">
      <c r="B8" s="24" t="inlineStr">
        <is>
          <t>Risk-free rate (10Y Treasury)</t>
        </is>
      </c>
      <c r="D8" s="26" t="n">
        <v>0.0213</v>
      </c>
    </row>
    <row r="9">
      <c r="B9" s="24" t="inlineStr">
        <is>
          <t>Equity risk premium</t>
        </is>
      </c>
      <c r="D9" s="26" t="n">
        <v>0.06</v>
      </c>
    </row>
    <row r="10">
      <c r="B10" s="24" t="inlineStr">
        <is>
          <t>Levered beta</t>
        </is>
      </c>
      <c r="D10" s="27" t="n">
        <v>1</v>
      </c>
    </row>
    <row r="11">
      <c r="B11" s="24" t="inlineStr">
        <is>
          <t>Marginal tax rate (WACC tax shield)</t>
        </is>
      </c>
      <c r="D11" s="28" t="n">
        <v>0.264</v>
      </c>
    </row>
    <row r="12">
      <c r="B12" s="24" t="inlineStr">
        <is>
          <t>Terminal growth rate (Gordon)</t>
        </is>
      </c>
      <c r="D12" s="28" t="n">
        <v>0.025</v>
      </c>
    </row>
    <row r="13">
      <c r="B13" s="24" t="inlineStr">
        <is>
          <t>Terminal EV / EBITDA multiple</t>
        </is>
      </c>
      <c r="D13" s="29" t="n">
        <v>10</v>
      </c>
    </row>
    <row r="14">
      <c r="B14" s="24" t="inlineStr">
        <is>
          <t>Mid-year discounting (1 = on)</t>
        </is>
      </c>
      <c r="D14" s="30" t="n">
        <v>1</v>
      </c>
    </row>
    <row r="15">
      <c r="B15" s="24" t="inlineStr">
        <is>
          <t>Deduct repatriation tax in equity bridge (1 = on)</t>
        </is>
      </c>
      <c r="D15" s="30" t="n">
        <v>1</v>
      </c>
    </row>
    <row r="16">
      <c r="B16" s="24" t="inlineStr">
        <is>
          <t>Repatriation tax rate</t>
        </is>
      </c>
      <c r="D16" s="31">
        <f>D26/D25</f>
        <v/>
      </c>
    </row>
    <row r="17">
      <c r="B17" s="24" t="inlineStr">
        <is>
          <t>Days in year</t>
        </is>
      </c>
      <c r="D17" s="30" t="n">
        <v>365</v>
      </c>
    </row>
    <row r="19">
      <c r="B19" s="23" t="inlineStr">
        <is>
          <t>Filing disclosures (10-K, latest fiscal year end)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</row>
    <row r="20">
      <c r="B20" s="24" t="inlineStr">
        <is>
          <t>Shares outstanding at year end</t>
        </is>
      </c>
      <c r="C20" s="32" t="inlineStr">
        <is>
          <t>m</t>
        </is>
      </c>
      <c r="D20" s="33" t="n">
        <v>5578.753</v>
      </c>
    </row>
    <row r="21">
      <c r="B21" s="24" t="inlineStr">
        <is>
          <t>Weighted-average basic shares</t>
        </is>
      </c>
      <c r="C21" s="32" t="inlineStr">
        <is>
          <t>m</t>
        </is>
      </c>
      <c r="D21" s="33" t="n">
        <v>5753.421</v>
      </c>
    </row>
    <row r="22">
      <c r="B22" s="24" t="inlineStr">
        <is>
          <t>Weighted-average diluted shares</t>
        </is>
      </c>
      <c r="C22" s="32" t="inlineStr">
        <is>
          <t>m</t>
        </is>
      </c>
      <c r="D22" s="33" t="n">
        <v>5793.069</v>
      </c>
    </row>
    <row r="23">
      <c r="B23" s="24" t="inlineStr">
        <is>
          <t>Diluted shares (period-end + dilution)</t>
        </is>
      </c>
      <c r="C23" s="32" t="inlineStr">
        <is>
          <t>m</t>
        </is>
      </c>
      <c r="D23" s="34">
        <f>D20+D22-D21</f>
        <v/>
      </c>
    </row>
    <row r="24">
      <c r="B24" s="24" t="inlineStr">
        <is>
          <t>Cash &amp; securities held by foreign subsidiaries</t>
        </is>
      </c>
      <c r="D24" s="35" t="n">
        <v>186900</v>
      </c>
    </row>
    <row r="25">
      <c r="B25" s="24" t="inlineStr">
        <is>
          <t>Undistributed foreign earnings</t>
        </is>
      </c>
      <c r="D25" s="35" t="n">
        <v>91500</v>
      </c>
    </row>
    <row r="26">
      <c r="B26" s="24" t="inlineStr">
        <is>
          <t>Unrecognized deferred tax on foreign earnings</t>
        </is>
      </c>
      <c r="D26" s="35" t="n">
        <v>30000</v>
      </c>
    </row>
    <row r="27">
      <c r="B27" s="24" t="inlineStr">
        <is>
          <t>Yield on cash &amp; marketable securities</t>
        </is>
      </c>
      <c r="D27" s="26" t="n">
        <v>0.0149</v>
      </c>
    </row>
    <row r="29">
      <c r="B29" s="23" t="inlineStr">
        <is>
          <t>Operating drivers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</row>
    <row r="30">
      <c r="B30" s="24" t="inlineStr">
        <is>
          <t>Revenue growth</t>
        </is>
      </c>
      <c r="E30" s="36">
        <f>'IS'!E7/'IS'!D7-1</f>
        <v/>
      </c>
      <c r="F30" s="36">
        <f>'IS'!F7/'IS'!E7-1</f>
        <v/>
      </c>
      <c r="G30" s="28" t="n">
        <v>0.03</v>
      </c>
      <c r="H30" s="28" t="n">
        <v>0.04</v>
      </c>
      <c r="I30" s="28" t="n">
        <v>0.04</v>
      </c>
      <c r="J30" s="28" t="n">
        <v>0.035</v>
      </c>
      <c r="K30" s="28" t="n">
        <v>0.03</v>
      </c>
    </row>
    <row r="31">
      <c r="B31" s="24" t="inlineStr">
        <is>
          <t>Gross margin</t>
        </is>
      </c>
      <c r="D31" s="36">
        <f>'IS'!D9/'IS'!D7</f>
        <v/>
      </c>
      <c r="E31" s="36">
        <f>'IS'!E9/'IS'!E7</f>
        <v/>
      </c>
      <c r="F31" s="36">
        <f>'IS'!F9/'IS'!F7</f>
        <v/>
      </c>
      <c r="G31" s="28" t="n">
        <v>0.4</v>
      </c>
      <c r="H31" s="28" t="n">
        <v>0.4</v>
      </c>
      <c r="I31" s="28" t="n">
        <v>0.395</v>
      </c>
      <c r="J31" s="28" t="n">
        <v>0.395</v>
      </c>
      <c r="K31" s="28" t="n">
        <v>0.39</v>
      </c>
    </row>
    <row r="32">
      <c r="B32" s="24" t="inlineStr">
        <is>
          <t>R&amp;D, % of sales</t>
        </is>
      </c>
      <c r="D32" s="36">
        <f>'IS'!D11/'IS'!D7</f>
        <v/>
      </c>
      <c r="E32" s="36">
        <f>'IS'!E11/'IS'!E7</f>
        <v/>
      </c>
      <c r="F32" s="36">
        <f>'IS'!F11/'IS'!F7</f>
        <v/>
      </c>
      <c r="G32" s="28" t="n">
        <v>0.037</v>
      </c>
      <c r="H32" s="28" t="n">
        <v>0.038</v>
      </c>
      <c r="I32" s="28" t="n">
        <v>0.039</v>
      </c>
      <c r="J32" s="28" t="n">
        <v>0.04</v>
      </c>
      <c r="K32" s="28" t="n">
        <v>0.04</v>
      </c>
    </row>
    <row r="33">
      <c r="B33" s="24" t="inlineStr">
        <is>
          <t>SG&amp;A, % of sales</t>
        </is>
      </c>
      <c r="D33" s="36">
        <f>'IS'!D12/'IS'!D7</f>
        <v/>
      </c>
      <c r="E33" s="36">
        <f>'IS'!E12/'IS'!E7</f>
        <v/>
      </c>
      <c r="F33" s="36">
        <f>'IS'!F12/'IS'!F7</f>
        <v/>
      </c>
      <c r="G33" s="28" t="n">
        <v>0.062</v>
      </c>
      <c r="H33" s="28" t="n">
        <v>0.062</v>
      </c>
      <c r="I33" s="28" t="n">
        <v>0.062</v>
      </c>
      <c r="J33" s="28" t="n">
        <v>0.062</v>
      </c>
      <c r="K33" s="28" t="n">
        <v>0.062</v>
      </c>
    </row>
    <row r="34">
      <c r="B34" s="24" t="inlineStr">
        <is>
          <t>D&amp;A, % of sales</t>
        </is>
      </c>
      <c r="D34" s="36">
        <f>'IS'!D16/'IS'!D7</f>
        <v/>
      </c>
      <c r="E34" s="36">
        <f>'IS'!E16/'IS'!E7</f>
        <v/>
      </c>
      <c r="F34" s="36">
        <f>'IS'!F16/'IS'!F7</f>
        <v/>
      </c>
      <c r="G34" s="28" t="n">
        <v>0.048</v>
      </c>
      <c r="H34" s="28" t="n">
        <v>0.048</v>
      </c>
      <c r="I34" s="28" t="n">
        <v>0.048</v>
      </c>
      <c r="J34" s="28" t="n">
        <v>0.048</v>
      </c>
      <c r="K34" s="28" t="n">
        <v>0.048</v>
      </c>
    </row>
    <row r="35">
      <c r="B35" s="24" t="inlineStr">
        <is>
          <t>Capex, % of sales</t>
        </is>
      </c>
      <c r="D35" s="36">
        <f>-'CFS'!D28/'IS'!D7</f>
        <v/>
      </c>
      <c r="E35" s="36">
        <f>-'CFS'!E28/'IS'!E7</f>
        <v/>
      </c>
      <c r="F35" s="36">
        <f>-'CFS'!F28/'IS'!F7</f>
        <v/>
      </c>
      <c r="G35" s="28" t="n">
        <v>0.06</v>
      </c>
      <c r="H35" s="28" t="n">
        <v>0.055</v>
      </c>
      <c r="I35" s="28" t="n">
        <v>0.05</v>
      </c>
      <c r="J35" s="28" t="n">
        <v>0.05</v>
      </c>
      <c r="K35" s="28" t="n">
        <v>0.05</v>
      </c>
    </row>
    <row r="36">
      <c r="B36" s="24" t="inlineStr">
        <is>
          <t>Tax rate</t>
        </is>
      </c>
      <c r="D36" s="36">
        <f>'IS'!D23/'IS'!D22</f>
        <v/>
      </c>
      <c r="E36" s="36">
        <f>'IS'!E23/'IS'!E22</f>
        <v/>
      </c>
      <c r="F36" s="36">
        <f>'IS'!F23/'IS'!F22</f>
        <v/>
      </c>
      <c r="G36" s="28" t="n">
        <v>0.264</v>
      </c>
      <c r="H36" s="28" t="n">
        <v>0.264</v>
      </c>
      <c r="I36" s="28" t="n">
        <v>0.264</v>
      </c>
      <c r="J36" s="28" t="n">
        <v>0.264</v>
      </c>
      <c r="K36" s="28" t="n">
        <v>0.264</v>
      </c>
    </row>
    <row r="37">
      <c r="B37" s="24" t="inlineStr">
        <is>
          <t>Receivable days</t>
        </is>
      </c>
      <c r="E37" s="37">
        <f>'BS'!E9/'IS'!E7*$D$17</f>
        <v/>
      </c>
      <c r="F37" s="37">
        <f>'BS'!F9/'IS'!F7*$D$17</f>
        <v/>
      </c>
      <c r="G37" s="38">
        <f>$F$37</f>
        <v/>
      </c>
      <c r="H37" s="38">
        <f>$F$37</f>
        <v/>
      </c>
      <c r="I37" s="38">
        <f>$F$37</f>
        <v/>
      </c>
      <c r="J37" s="38">
        <f>$F$37</f>
        <v/>
      </c>
      <c r="K37" s="38">
        <f>$F$37</f>
        <v/>
      </c>
    </row>
    <row r="38">
      <c r="B38" s="24" t="inlineStr">
        <is>
          <t>Inventory days</t>
        </is>
      </c>
      <c r="E38" s="37">
        <f>'BS'!E10/'IS'!E8*$D$17</f>
        <v/>
      </c>
      <c r="F38" s="37">
        <f>'BS'!F10/'IS'!F8*$D$17</f>
        <v/>
      </c>
      <c r="G38" s="38">
        <f>$F$38</f>
        <v/>
      </c>
      <c r="H38" s="38">
        <f>$F$38</f>
        <v/>
      </c>
      <c r="I38" s="38">
        <f>$F$38</f>
        <v/>
      </c>
      <c r="J38" s="38">
        <f>$F$38</f>
        <v/>
      </c>
      <c r="K38" s="38">
        <f>$F$38</f>
        <v/>
      </c>
    </row>
    <row r="39">
      <c r="B39" s="24" t="inlineStr">
        <is>
          <t>Payable days</t>
        </is>
      </c>
      <c r="E39" s="37">
        <f>'BS'!E23/'IS'!E8*$D$17</f>
        <v/>
      </c>
      <c r="F39" s="37">
        <f>'BS'!F23/'IS'!F8*$D$17</f>
        <v/>
      </c>
      <c r="G39" s="38">
        <f>$F$39</f>
        <v/>
      </c>
      <c r="H39" s="38">
        <f>$F$39</f>
        <v/>
      </c>
      <c r="I39" s="38">
        <f>$F$39</f>
        <v/>
      </c>
      <c r="J39" s="38">
        <f>$F$39</f>
        <v/>
      </c>
      <c r="K39" s="38">
        <f>$F$39</f>
        <v/>
      </c>
    </row>
    <row r="40">
      <c r="B40" s="24" t="inlineStr">
        <is>
          <t>Vendor receivables % sales</t>
        </is>
      </c>
      <c r="E40" s="36">
        <f>'BS'!E12/'IS'!E7</f>
        <v/>
      </c>
      <c r="F40" s="36">
        <f>'BS'!F12/'IS'!F7</f>
        <v/>
      </c>
      <c r="G40" s="31">
        <f>$F$40</f>
        <v/>
      </c>
      <c r="H40" s="31">
        <f>$F$40</f>
        <v/>
      </c>
      <c r="I40" s="31">
        <f>$F$40</f>
        <v/>
      </c>
      <c r="J40" s="31">
        <f>$F$40</f>
        <v/>
      </c>
      <c r="K40" s="31">
        <f>$F$40</f>
        <v/>
      </c>
    </row>
    <row r="41">
      <c r="B41" s="24" t="inlineStr">
        <is>
          <t>Other current assets % sales</t>
        </is>
      </c>
      <c r="E41" s="36">
        <f>'BS'!E13/'IS'!E7</f>
        <v/>
      </c>
      <c r="F41" s="36">
        <f>'BS'!F13/'IS'!F7</f>
        <v/>
      </c>
      <c r="G41" s="31">
        <f>$F$41</f>
        <v/>
      </c>
      <c r="H41" s="31">
        <f>$F$41</f>
        <v/>
      </c>
      <c r="I41" s="31">
        <f>$F$41</f>
        <v/>
      </c>
      <c r="J41" s="31">
        <f>$F$41</f>
        <v/>
      </c>
      <c r="K41" s="31">
        <f>$F$41</f>
        <v/>
      </c>
    </row>
    <row r="42">
      <c r="B42" s="24" t="inlineStr">
        <is>
          <t>Accrued expenses % sales</t>
        </is>
      </c>
      <c r="E42" s="36">
        <f>'BS'!E24/'IS'!E7</f>
        <v/>
      </c>
      <c r="F42" s="36">
        <f>'BS'!F24/'IS'!F7</f>
        <v/>
      </c>
      <c r="G42" s="31">
        <f>$F$42</f>
        <v/>
      </c>
      <c r="H42" s="31">
        <f>$F$42</f>
        <v/>
      </c>
      <c r="I42" s="31">
        <f>$F$42</f>
        <v/>
      </c>
      <c r="J42" s="31">
        <f>$F$42</f>
        <v/>
      </c>
      <c r="K42" s="31">
        <f>$F$42</f>
        <v/>
      </c>
    </row>
    <row r="43">
      <c r="B43" s="24" t="inlineStr">
        <is>
          <t>Deferred revenue % sales</t>
        </is>
      </c>
      <c r="E43" s="36">
        <f>'BS'!E25/'IS'!E7</f>
        <v/>
      </c>
      <c r="F43" s="36">
        <f>'BS'!F25/'IS'!F7</f>
        <v/>
      </c>
      <c r="G43" s="31">
        <f>$F$43</f>
        <v/>
      </c>
      <c r="H43" s="31">
        <f>$F$43</f>
        <v/>
      </c>
      <c r="I43" s="31">
        <f>$F$43</f>
        <v/>
      </c>
      <c r="J43" s="31">
        <f>$F$43</f>
        <v/>
      </c>
      <c r="K43" s="31">
        <f>$F$43</f>
        <v/>
      </c>
    </row>
    <row r="44">
      <c r="B44" s="24" t="inlineStr">
        <is>
          <t>Interest income yield on cash &amp; securities</t>
        </is>
      </c>
      <c r="G44" s="39">
        <f>$D$27</f>
        <v/>
      </c>
      <c r="H44" s="39">
        <f>$D$27</f>
        <v/>
      </c>
      <c r="I44" s="39">
        <f>$D$27</f>
        <v/>
      </c>
      <c r="J44" s="39">
        <f>$D$27</f>
        <v/>
      </c>
      <c r="K44" s="39">
        <f>$D$27</f>
        <v/>
      </c>
    </row>
    <row r="45">
      <c r="B45" s="24" t="inlineStr">
        <is>
          <t>Pre-tax cost of debt</t>
        </is>
      </c>
      <c r="G45" s="40">
        <f>'Debt'!$D$48</f>
        <v/>
      </c>
      <c r="H45" s="40">
        <f>'Debt'!$D$48</f>
        <v/>
      </c>
      <c r="I45" s="40">
        <f>'Debt'!$D$48</f>
        <v/>
      </c>
      <c r="J45" s="40">
        <f>'Debt'!$D$48</f>
        <v/>
      </c>
      <c r="K45" s="40">
        <f>'Debt'!$D$48</f>
        <v/>
      </c>
    </row>
    <row r="46">
      <c r="B46" s="24" t="inlineStr">
        <is>
          <t>Dividends, % of net income</t>
        </is>
      </c>
      <c r="D46" s="36">
        <f>-'CFS'!D37/'IS'!D24</f>
        <v/>
      </c>
      <c r="E46" s="36">
        <f>-'CFS'!E37/'IS'!E24</f>
        <v/>
      </c>
      <c r="F46" s="36">
        <f>-'CFS'!F37/'IS'!F24</f>
        <v/>
      </c>
      <c r="G46" s="28" t="n">
        <v>0.22</v>
      </c>
      <c r="H46" s="28" t="n">
        <v>0.22</v>
      </c>
      <c r="I46" s="28" t="n">
        <v>0.22</v>
      </c>
      <c r="J46" s="28" t="n">
        <v>0.22</v>
      </c>
      <c r="K46" s="28" t="n">
        <v>0.22</v>
      </c>
    </row>
    <row r="47">
      <c r="B47" s="24" t="inlineStr">
        <is>
          <t>Share repurchases, % of net income</t>
        </is>
      </c>
      <c r="D47" s="36">
        <f>-'CFS'!D38/'IS'!D24</f>
        <v/>
      </c>
      <c r="E47" s="36">
        <f>-'CFS'!E38/'IS'!E24</f>
        <v/>
      </c>
      <c r="F47" s="36">
        <f>-'CFS'!F38/'IS'!F24</f>
        <v/>
      </c>
      <c r="G47" s="28" t="n">
        <v>0.65</v>
      </c>
      <c r="H47" s="28" t="n">
        <v>0.65</v>
      </c>
      <c r="I47" s="28" t="n">
        <v>0.65</v>
      </c>
      <c r="J47" s="28" t="n">
        <v>0.65</v>
      </c>
      <c r="K47" s="28" t="n">
        <v>0.65</v>
      </c>
    </row>
    <row r="49">
      <c r="B49" s="23" t="inlineStr">
        <is>
          <t>Transaction assumptions (LBO)</t>
        </is>
      </c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</row>
    <row r="50">
      <c r="B50" s="24" t="inlineStr">
        <is>
          <t>Entry EV / LTM EBITDA</t>
        </is>
      </c>
      <c r="D50" s="29" t="n">
        <v>8</v>
      </c>
    </row>
    <row r="51">
      <c r="B51" s="24" t="inlineStr">
        <is>
          <t>Exit EV / EBITDA</t>
        </is>
      </c>
      <c r="D51" s="29" t="n">
        <v>8</v>
      </c>
    </row>
    <row r="52">
      <c r="B52" s="24" t="inlineStr">
        <is>
          <t>Holding period (years)</t>
        </is>
      </c>
      <c r="D52" s="30" t="n">
        <v>5</v>
      </c>
    </row>
    <row r="53">
      <c r="B53" s="24" t="inlineStr">
        <is>
          <t>Total debt, % of entry EV</t>
        </is>
      </c>
      <c r="D53" s="28" t="n">
        <v>0.5</v>
      </c>
    </row>
    <row r="54">
      <c r="B54" s="24" t="inlineStr">
        <is>
          <t>Excess cash flow sweep</t>
        </is>
      </c>
      <c r="D54" s="28" t="n">
        <v>1</v>
      </c>
    </row>
    <row r="55">
      <c r="B55" s="24" t="inlineStr">
        <is>
          <t>Minimum operating cash</t>
        </is>
      </c>
      <c r="D55" s="35" t="n">
        <v>10000</v>
      </c>
    </row>
    <row r="56">
      <c r="B56" s="24" t="inlineStr">
        <is>
          <t>Advisory &amp; transaction fees, % of EV</t>
        </is>
      </c>
      <c r="D56" s="26" t="n">
        <v>0.01</v>
      </c>
    </row>
    <row r="57">
      <c r="B57" s="24" t="inlineStr">
        <is>
          <t>Financing fees, % of debt</t>
        </is>
      </c>
      <c r="D57" s="26" t="n">
        <v>0.02</v>
      </c>
    </row>
    <row r="58">
      <c r="B58" s="24" t="inlineStr">
        <is>
          <t>Offshore cash repatriated at close</t>
        </is>
      </c>
      <c r="D58" s="28" t="n">
        <v>0</v>
      </c>
    </row>
    <row r="59">
      <c r="B59" s="24" t="inlineStr">
        <is>
          <t>Covenant: maximum Total debt / EBITDA</t>
        </is>
      </c>
      <c r="D59" s="29" t="n">
        <v>5</v>
      </c>
    </row>
    <row r="60">
      <c r="B60" s="24" t="inlineStr">
        <is>
          <t>Covenant: minimum EBITDA / Interest</t>
        </is>
      </c>
      <c r="D60" s="29" t="n">
        <v>3</v>
      </c>
    </row>
    <row r="62">
      <c r="B62" s="23" t="inlineStr">
        <is>
          <t>Tranche 1: Senior Term Loan B (senior secured)</t>
        </is>
      </c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</row>
    <row r="63">
      <c r="B63" s="24" t="inlineStr">
        <is>
          <t>Share of total debt</t>
        </is>
      </c>
      <c r="D63" s="28" t="n">
        <v>0.7</v>
      </c>
    </row>
    <row r="64">
      <c r="B64" s="24" t="inlineStr">
        <is>
          <t>Cash interest rate</t>
        </is>
      </c>
      <c r="D64" s="26" t="n">
        <v>0.055</v>
      </c>
    </row>
    <row r="65">
      <c r="B65" s="24" t="inlineStr">
        <is>
          <t>Mandatory amortization, % of original</t>
        </is>
      </c>
      <c r="D65" s="28" t="n">
        <v>0.01</v>
      </c>
    </row>
    <row r="66">
      <c r="B66" s="24" t="inlineStr">
        <is>
          <t>Prepayable from sweep (1 = yes)</t>
        </is>
      </c>
      <c r="D66" s="30" t="n">
        <v>1</v>
      </c>
    </row>
    <row r="68">
      <c r="B68" s="23" t="inlineStr">
        <is>
          <t>Tranche 2: Senior Subordinated Notes (subordinated)</t>
        </is>
      </c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</row>
    <row r="69">
      <c r="B69" s="24" t="inlineStr">
        <is>
          <t>Share of total debt</t>
        </is>
      </c>
      <c r="D69" s="28" t="n">
        <v>0.3</v>
      </c>
    </row>
    <row r="70">
      <c r="B70" s="24" t="inlineStr">
        <is>
          <t>Cash interest rate</t>
        </is>
      </c>
      <c r="D70" s="26" t="n">
        <v>0.08</v>
      </c>
    </row>
    <row r="71">
      <c r="B71" s="24" t="inlineStr">
        <is>
          <t>Mandatory amortization, % of original</t>
        </is>
      </c>
      <c r="D71" s="28" t="n">
        <v>0</v>
      </c>
    </row>
    <row r="72">
      <c r="B72" s="24" t="inlineStr">
        <is>
          <t>Prepayable from sweep (1 = yes)</t>
        </is>
      </c>
      <c r="D72" s="30" t="n">
        <v>1</v>
      </c>
    </row>
  </sheetData>
  <mergeCells count="2">
    <mergeCell ref="G3:K3"/>
    <mergeCell ref="D3:F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45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4" t="inlineStr">
        <is>
          <t>Apple Inc.: Income Statement</t>
        </is>
      </c>
    </row>
    <row r="2">
      <c r="B2" s="15" t="inlineStr">
        <is>
          <t>USD in millions, except per-share data. Blue = input / reported, black = formula, green = link to another sheet.</t>
        </is>
      </c>
    </row>
    <row r="3">
      <c r="D3" s="16" t="inlineStr">
        <is>
          <t>Historical</t>
        </is>
      </c>
      <c r="E3" s="17" t="n"/>
      <c r="F3" s="17" t="n"/>
      <c r="G3" s="18" t="inlineStr">
        <is>
          <t>Projected</t>
        </is>
      </c>
      <c r="H3" s="19" t="n"/>
      <c r="I3" s="19" t="n"/>
      <c r="J3" s="19" t="n"/>
      <c r="K3" s="19" t="n"/>
    </row>
    <row r="4">
      <c r="B4" s="20" t="inlineStr">
        <is>
          <t>Fiscal year ending September</t>
        </is>
      </c>
      <c r="C4" s="17" t="n"/>
      <c r="D4" s="21" t="n">
        <v>2013</v>
      </c>
      <c r="E4" s="21" t="n">
        <v>2014</v>
      </c>
      <c r="F4" s="21" t="n">
        <v>2015</v>
      </c>
      <c r="G4" s="22" t="n">
        <v>2016</v>
      </c>
      <c r="H4" s="22" t="n">
        <v>2017</v>
      </c>
      <c r="I4" s="22" t="n">
        <v>2018</v>
      </c>
      <c r="J4" s="22" t="n">
        <v>2019</v>
      </c>
      <c r="K4" s="22" t="n">
        <v>2020</v>
      </c>
    </row>
    <row r="6">
      <c r="B6" s="23" t="inlineStr">
        <is>
          <t>Income statement</t>
        </is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B7" s="41" t="inlineStr">
        <is>
          <t>Net sales</t>
        </is>
      </c>
      <c r="D7" s="42" t="n">
        <v>170910</v>
      </c>
      <c r="E7" s="42" t="n">
        <v>182795</v>
      </c>
      <c r="F7" s="42" t="n">
        <v>233715</v>
      </c>
      <c r="G7" s="43">
        <f>F7*(1+'Inputs'!G30)</f>
        <v/>
      </c>
      <c r="H7" s="43">
        <f>G7*(1+'Inputs'!H30)</f>
        <v/>
      </c>
      <c r="I7" s="43">
        <f>H7*(1+'Inputs'!I30)</f>
        <v/>
      </c>
      <c r="J7" s="43">
        <f>I7*(1+'Inputs'!J30)</f>
        <v/>
      </c>
      <c r="K7" s="43">
        <f>J7*(1+'Inputs'!K30)</f>
        <v/>
      </c>
    </row>
    <row r="8">
      <c r="B8" s="24" t="inlineStr">
        <is>
          <t>Cost of sales</t>
        </is>
      </c>
      <c r="D8" s="44" t="n">
        <v>106606</v>
      </c>
      <c r="E8" s="44" t="n">
        <v>112258</v>
      </c>
      <c r="F8" s="44" t="n">
        <v>140089</v>
      </c>
      <c r="G8" s="45">
        <f>G7*(1-'Inputs'!G31)</f>
        <v/>
      </c>
      <c r="H8" s="45">
        <f>H7*(1-'Inputs'!H31)</f>
        <v/>
      </c>
      <c r="I8" s="45">
        <f>I7*(1-'Inputs'!I31)</f>
        <v/>
      </c>
      <c r="J8" s="45">
        <f>J7*(1-'Inputs'!J31)</f>
        <v/>
      </c>
      <c r="K8" s="45">
        <f>K7*(1-'Inputs'!K31)</f>
        <v/>
      </c>
    </row>
    <row r="9">
      <c r="B9" s="41" t="inlineStr">
        <is>
          <t>Gross profit</t>
        </is>
      </c>
      <c r="D9" s="46">
        <f>D7-D8</f>
        <v/>
      </c>
      <c r="E9" s="46">
        <f>E7-E8</f>
        <v/>
      </c>
      <c r="F9" s="46">
        <f>F7-F8</f>
        <v/>
      </c>
      <c r="G9" s="46">
        <f>G7-G8</f>
        <v/>
      </c>
      <c r="H9" s="46">
        <f>H7-H8</f>
        <v/>
      </c>
      <c r="I9" s="46">
        <f>I7-I8</f>
        <v/>
      </c>
      <c r="J9" s="46">
        <f>J7-J8</f>
        <v/>
      </c>
      <c r="K9" s="46">
        <f>K7-K8</f>
        <v/>
      </c>
    </row>
    <row r="10">
      <c r="B10" s="47" t="inlineStr">
        <is>
          <t xml:space="preserve">  Gross margin %</t>
        </is>
      </c>
      <c r="D10" s="48">
        <f>D9/D7</f>
        <v/>
      </c>
      <c r="E10" s="48">
        <f>E9/E7</f>
        <v/>
      </c>
      <c r="F10" s="48">
        <f>F9/F7</f>
        <v/>
      </c>
      <c r="G10" s="48">
        <f>G9/G7</f>
        <v/>
      </c>
      <c r="H10" s="48">
        <f>H9/H7</f>
        <v/>
      </c>
      <c r="I10" s="48">
        <f>I9/I7</f>
        <v/>
      </c>
      <c r="J10" s="48">
        <f>J9/J7</f>
        <v/>
      </c>
      <c r="K10" s="48">
        <f>K9/K7</f>
        <v/>
      </c>
    </row>
    <row r="11">
      <c r="B11" s="24" t="inlineStr">
        <is>
          <t>Research and development</t>
        </is>
      </c>
      <c r="D11" s="44" t="n">
        <v>4475</v>
      </c>
      <c r="E11" s="44" t="n">
        <v>6041</v>
      </c>
      <c r="F11" s="44" t="n">
        <v>8067</v>
      </c>
      <c r="G11" s="45">
        <f>G7*'Inputs'!G32</f>
        <v/>
      </c>
      <c r="H11" s="45">
        <f>H7*'Inputs'!H32</f>
        <v/>
      </c>
      <c r="I11" s="45">
        <f>I7*'Inputs'!I32</f>
        <v/>
      </c>
      <c r="J11" s="45">
        <f>J7*'Inputs'!J32</f>
        <v/>
      </c>
      <c r="K11" s="45">
        <f>K7*'Inputs'!K32</f>
        <v/>
      </c>
    </row>
    <row r="12">
      <c r="B12" s="24" t="inlineStr">
        <is>
          <t>Selling, general and administrative</t>
        </is>
      </c>
      <c r="D12" s="44" t="n">
        <v>10830</v>
      </c>
      <c r="E12" s="44" t="n">
        <v>11993</v>
      </c>
      <c r="F12" s="44" t="n">
        <v>14329</v>
      </c>
      <c r="G12" s="45">
        <f>G7*'Inputs'!G33</f>
        <v/>
      </c>
      <c r="H12" s="45">
        <f>H7*'Inputs'!H33</f>
        <v/>
      </c>
      <c r="I12" s="45">
        <f>I7*'Inputs'!I33</f>
        <v/>
      </c>
      <c r="J12" s="45">
        <f>J7*'Inputs'!J33</f>
        <v/>
      </c>
      <c r="K12" s="45">
        <f>K7*'Inputs'!K33</f>
        <v/>
      </c>
    </row>
    <row r="13">
      <c r="B13" s="41" t="inlineStr">
        <is>
          <t>Total operating expenses</t>
        </is>
      </c>
      <c r="D13" s="46">
        <f>SUM(D11:D12)</f>
        <v/>
      </c>
      <c r="E13" s="46">
        <f>SUM(E11:E12)</f>
        <v/>
      </c>
      <c r="F13" s="46">
        <f>SUM(F11:F12)</f>
        <v/>
      </c>
      <c r="G13" s="46">
        <f>SUM(G11:G12)</f>
        <v/>
      </c>
      <c r="H13" s="46">
        <f>SUM(H11:H12)</f>
        <v/>
      </c>
      <c r="I13" s="46">
        <f>SUM(I11:I12)</f>
        <v/>
      </c>
      <c r="J13" s="46">
        <f>SUM(J11:J12)</f>
        <v/>
      </c>
      <c r="K13" s="46">
        <f>SUM(K11:K12)</f>
        <v/>
      </c>
    </row>
    <row r="14">
      <c r="B14" s="41" t="inlineStr">
        <is>
          <t>Operating income (EBIT)</t>
        </is>
      </c>
      <c r="D14" s="46">
        <f>D9-D13</f>
        <v/>
      </c>
      <c r="E14" s="46">
        <f>E9-E13</f>
        <v/>
      </c>
      <c r="F14" s="46">
        <f>F9-F13</f>
        <v/>
      </c>
      <c r="G14" s="46">
        <f>G9-G13</f>
        <v/>
      </c>
      <c r="H14" s="46">
        <f>H9-H13</f>
        <v/>
      </c>
      <c r="I14" s="46">
        <f>I9-I13</f>
        <v/>
      </c>
      <c r="J14" s="46">
        <f>J9-J13</f>
        <v/>
      </c>
      <c r="K14" s="46">
        <f>K9-K13</f>
        <v/>
      </c>
    </row>
    <row r="15">
      <c r="B15" s="47" t="inlineStr">
        <is>
          <t xml:space="preserve">  EBIT margin %</t>
        </is>
      </c>
      <c r="D15" s="48">
        <f>D14/D7</f>
        <v/>
      </c>
      <c r="E15" s="48">
        <f>E14/E7</f>
        <v/>
      </c>
      <c r="F15" s="48">
        <f>F14/F7</f>
        <v/>
      </c>
      <c r="G15" s="48">
        <f>G14/G7</f>
        <v/>
      </c>
      <c r="H15" s="48">
        <f>H14/H7</f>
        <v/>
      </c>
      <c r="I15" s="48">
        <f>I14/I7</f>
        <v/>
      </c>
      <c r="J15" s="48">
        <f>J14/J7</f>
        <v/>
      </c>
      <c r="K15" s="48">
        <f>K14/K7</f>
        <v/>
      </c>
    </row>
    <row r="16">
      <c r="B16" s="47" t="inlineStr">
        <is>
          <t>Depreciation &amp; amortization</t>
        </is>
      </c>
      <c r="D16" s="49">
        <f>'CFS'!D10</f>
        <v/>
      </c>
      <c r="E16" s="49">
        <f>'CFS'!E10</f>
        <v/>
      </c>
      <c r="F16" s="49">
        <f>'CFS'!F10</f>
        <v/>
      </c>
      <c r="G16" s="49">
        <f>G7*'Inputs'!G34</f>
        <v/>
      </c>
      <c r="H16" s="49">
        <f>H7*'Inputs'!H34</f>
        <v/>
      </c>
      <c r="I16" s="49">
        <f>I7*'Inputs'!I34</f>
        <v/>
      </c>
      <c r="J16" s="49">
        <f>J7*'Inputs'!J34</f>
        <v/>
      </c>
      <c r="K16" s="49">
        <f>K7*'Inputs'!K34</f>
        <v/>
      </c>
    </row>
    <row r="17">
      <c r="B17" s="41" t="inlineStr">
        <is>
          <t>EBITDA</t>
        </is>
      </c>
      <c r="D17" s="46">
        <f>D14+D16</f>
        <v/>
      </c>
      <c r="E17" s="46">
        <f>E14+E16</f>
        <v/>
      </c>
      <c r="F17" s="46">
        <f>F14+F16</f>
        <v/>
      </c>
      <c r="G17" s="46">
        <f>G14+G16</f>
        <v/>
      </c>
      <c r="H17" s="46">
        <f>H14+H16</f>
        <v/>
      </c>
      <c r="I17" s="46">
        <f>I14+I16</f>
        <v/>
      </c>
      <c r="J17" s="46">
        <f>J14+J16</f>
        <v/>
      </c>
      <c r="K17" s="46">
        <f>K14+K16</f>
        <v/>
      </c>
    </row>
    <row r="18">
      <c r="B18" s="47" t="inlineStr">
        <is>
          <t xml:space="preserve">  EBITDA margin %</t>
        </is>
      </c>
      <c r="D18" s="48">
        <f>D17/D7</f>
        <v/>
      </c>
      <c r="E18" s="48">
        <f>E17/E7</f>
        <v/>
      </c>
      <c r="F18" s="48">
        <f>F17/F7</f>
        <v/>
      </c>
      <c r="G18" s="48">
        <f>G17/G7</f>
        <v/>
      </c>
      <c r="H18" s="48">
        <f>H17/H7</f>
        <v/>
      </c>
      <c r="I18" s="48">
        <f>I17/I7</f>
        <v/>
      </c>
      <c r="J18" s="48">
        <f>J17/J7</f>
        <v/>
      </c>
      <c r="K18" s="48">
        <f>K17/K7</f>
        <v/>
      </c>
    </row>
    <row r="19">
      <c r="B19" s="24" t="inlineStr">
        <is>
          <t>Interest income</t>
        </is>
      </c>
      <c r="G19" s="45">
        <f>'Inputs'!G44*('BS'!F7+'BS'!F8+'BS'!F15)</f>
        <v/>
      </c>
      <c r="H19" s="45">
        <f>'Inputs'!H44*('BS'!G7+'BS'!G8+'BS'!G15)</f>
        <v/>
      </c>
      <c r="I19" s="45">
        <f>'Inputs'!I44*('BS'!H7+'BS'!H8+'BS'!H15)</f>
        <v/>
      </c>
      <c r="J19" s="45">
        <f>'Inputs'!J44*('BS'!I7+'BS'!I8+'BS'!I15)</f>
        <v/>
      </c>
      <c r="K19" s="45">
        <f>'Inputs'!K44*('BS'!J7+'BS'!J8+'BS'!J15)</f>
        <v/>
      </c>
    </row>
    <row r="20">
      <c r="B20" s="24" t="inlineStr">
        <is>
          <t>Interest expense</t>
        </is>
      </c>
      <c r="G20" s="45">
        <f>'Inputs'!G45*('BS'!F26+'BS'!F27+'BS'!F30)</f>
        <v/>
      </c>
      <c r="H20" s="45">
        <f>'Inputs'!H45*('BS'!G26+'BS'!G27+'BS'!G30)</f>
        <v/>
      </c>
      <c r="I20" s="45">
        <f>'Inputs'!I45*('BS'!H26+'BS'!H27+'BS'!H30)</f>
        <v/>
      </c>
      <c r="J20" s="45">
        <f>'Inputs'!J45*('BS'!I26+'BS'!I27+'BS'!I30)</f>
        <v/>
      </c>
      <c r="K20" s="45">
        <f>'Inputs'!K45*('BS'!J26+'BS'!J27+'BS'!J30)</f>
        <v/>
      </c>
    </row>
    <row r="21">
      <c r="B21" s="24" t="inlineStr">
        <is>
          <t>Other income / (expense), net</t>
        </is>
      </c>
      <c r="D21" s="44" t="n">
        <v>1156</v>
      </c>
      <c r="E21" s="44" t="n">
        <v>980</v>
      </c>
      <c r="F21" s="44" t="n">
        <v>1285</v>
      </c>
      <c r="G21" s="50">
        <f>G19-G20</f>
        <v/>
      </c>
      <c r="H21" s="50">
        <f>H19-H20</f>
        <v/>
      </c>
      <c r="I21" s="50">
        <f>I19-I20</f>
        <v/>
      </c>
      <c r="J21" s="50">
        <f>J19-J20</f>
        <v/>
      </c>
      <c r="K21" s="50">
        <f>K19-K20</f>
        <v/>
      </c>
    </row>
    <row r="22">
      <c r="B22" s="41" t="inlineStr">
        <is>
          <t>Income before taxes</t>
        </is>
      </c>
      <c r="D22" s="46">
        <f>D14+D21</f>
        <v/>
      </c>
      <c r="E22" s="46">
        <f>E14+E21</f>
        <v/>
      </c>
      <c r="F22" s="46">
        <f>F14+F21</f>
        <v/>
      </c>
      <c r="G22" s="46">
        <f>G14+G21</f>
        <v/>
      </c>
      <c r="H22" s="46">
        <f>H14+H21</f>
        <v/>
      </c>
      <c r="I22" s="46">
        <f>I14+I21</f>
        <v/>
      </c>
      <c r="J22" s="46">
        <f>J14+J21</f>
        <v/>
      </c>
      <c r="K22" s="46">
        <f>K14+K21</f>
        <v/>
      </c>
    </row>
    <row r="23">
      <c r="B23" s="24" t="inlineStr">
        <is>
          <t>Provision for income taxes</t>
        </is>
      </c>
      <c r="D23" s="44" t="n">
        <v>13118</v>
      </c>
      <c r="E23" s="44" t="n">
        <v>13973</v>
      </c>
      <c r="F23" s="44" t="n">
        <v>19121</v>
      </c>
      <c r="G23" s="45">
        <f>G22*'Inputs'!G36</f>
        <v/>
      </c>
      <c r="H23" s="45">
        <f>H22*'Inputs'!H36</f>
        <v/>
      </c>
      <c r="I23" s="45">
        <f>I22*'Inputs'!I36</f>
        <v/>
      </c>
      <c r="J23" s="45">
        <f>J22*'Inputs'!J36</f>
        <v/>
      </c>
      <c r="K23" s="45">
        <f>K22*'Inputs'!K36</f>
        <v/>
      </c>
    </row>
    <row r="24">
      <c r="B24" s="41" t="inlineStr">
        <is>
          <t>Net income</t>
        </is>
      </c>
      <c r="D24" s="51">
        <f>D22-D23</f>
        <v/>
      </c>
      <c r="E24" s="51">
        <f>E22-E23</f>
        <v/>
      </c>
      <c r="F24" s="51">
        <f>F22-F23</f>
        <v/>
      </c>
      <c r="G24" s="51">
        <f>G22-G23</f>
        <v/>
      </c>
      <c r="H24" s="51">
        <f>H22-H23</f>
        <v/>
      </c>
      <c r="I24" s="51">
        <f>I22-I23</f>
        <v/>
      </c>
      <c r="J24" s="51">
        <f>J22-J23</f>
        <v/>
      </c>
      <c r="K24" s="51">
        <f>K22-K23</f>
        <v/>
      </c>
    </row>
    <row r="26">
      <c r="B26" s="24" t="inlineStr">
        <is>
          <t>Diluted shares</t>
        </is>
      </c>
      <c r="C26" s="32" t="inlineStr">
        <is>
          <t>m</t>
        </is>
      </c>
      <c r="D26" s="52" t="n">
        <v>6521.634</v>
      </c>
      <c r="E26" s="52" t="n">
        <v>6122.663</v>
      </c>
      <c r="F26" s="52" t="n">
        <v>5793.069</v>
      </c>
      <c r="G26" s="53">
        <f>'Inputs'!$D$23</f>
        <v/>
      </c>
      <c r="H26" s="53">
        <f>'Inputs'!$D$23</f>
        <v/>
      </c>
      <c r="I26" s="53">
        <f>'Inputs'!$D$23</f>
        <v/>
      </c>
      <c r="J26" s="53">
        <f>'Inputs'!$D$23</f>
        <v/>
      </c>
      <c r="K26" s="53">
        <f>'Inputs'!$D$23</f>
        <v/>
      </c>
    </row>
    <row r="27">
      <c r="B27" s="24" t="inlineStr">
        <is>
          <t>Diluted EPS</t>
        </is>
      </c>
      <c r="D27" s="54">
        <f>D24/D26</f>
        <v/>
      </c>
      <c r="E27" s="54">
        <f>E24/E26</f>
        <v/>
      </c>
      <c r="F27" s="54">
        <f>F24/F26</f>
        <v/>
      </c>
      <c r="G27" s="54">
        <f>G24/G26</f>
        <v/>
      </c>
      <c r="H27" s="54">
        <f>H24/H26</f>
        <v/>
      </c>
      <c r="I27" s="54">
        <f>I24/I26</f>
        <v/>
      </c>
      <c r="J27" s="54">
        <f>J24/J26</f>
        <v/>
      </c>
      <c r="K27" s="54">
        <f>K24/K26</f>
        <v/>
      </c>
    </row>
    <row r="29">
      <c r="B29" s="23" t="inlineStr">
        <is>
          <t>Net sales by segment (reported)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</row>
    <row r="30">
      <c r="B30" s="24" t="inlineStr">
        <is>
          <t>Americas</t>
        </is>
      </c>
      <c r="D30" s="44" t="n">
        <v>77093</v>
      </c>
      <c r="E30" s="44" t="n">
        <v>80095</v>
      </c>
      <c r="F30" s="44" t="n">
        <v>93864</v>
      </c>
    </row>
    <row r="31">
      <c r="B31" s="24" t="inlineStr">
        <is>
          <t>Europe</t>
        </is>
      </c>
      <c r="D31" s="44" t="n">
        <v>40980</v>
      </c>
      <c r="E31" s="44" t="n">
        <v>44285</v>
      </c>
      <c r="F31" s="44" t="n">
        <v>50337</v>
      </c>
    </row>
    <row r="32">
      <c r="B32" s="24" t="inlineStr">
        <is>
          <t>Greater China</t>
        </is>
      </c>
      <c r="D32" s="44" t="n">
        <v>27016</v>
      </c>
      <c r="E32" s="44" t="n">
        <v>31853</v>
      </c>
      <c r="F32" s="44" t="n">
        <v>58715</v>
      </c>
    </row>
    <row r="33">
      <c r="B33" s="24" t="inlineStr">
        <is>
          <t>Japan</t>
        </is>
      </c>
      <c r="D33" s="44" t="n">
        <v>13782</v>
      </c>
      <c r="E33" s="44" t="n">
        <v>15314</v>
      </c>
      <c r="F33" s="44" t="n">
        <v>15706</v>
      </c>
    </row>
    <row r="34">
      <c r="B34" s="24" t="inlineStr">
        <is>
          <t>Rest of Asia Pacific</t>
        </is>
      </c>
      <c r="D34" s="44" t="n">
        <v>12039</v>
      </c>
      <c r="E34" s="44" t="n">
        <v>11248</v>
      </c>
      <c r="F34" s="44" t="n">
        <v>15093</v>
      </c>
    </row>
    <row r="35">
      <c r="B35" s="41" t="inlineStr">
        <is>
          <t>Total</t>
        </is>
      </c>
      <c r="D35" s="46">
        <f>SUM(D30:D34)</f>
        <v/>
      </c>
      <c r="E35" s="46">
        <f>SUM(E30:E34)</f>
        <v/>
      </c>
      <c r="F35" s="46">
        <f>SUM(F30:F34)</f>
        <v/>
      </c>
    </row>
    <row r="36">
      <c r="B36" s="55" t="inlineStr">
        <is>
          <t>Check: segments - net sales</t>
        </is>
      </c>
      <c r="D36" s="56">
        <f>D35-D7</f>
        <v/>
      </c>
      <c r="E36" s="56">
        <f>E35-E7</f>
        <v/>
      </c>
      <c r="F36" s="56">
        <f>F35-F7</f>
        <v/>
      </c>
    </row>
    <row r="38">
      <c r="B38" s="23" t="inlineStr">
        <is>
          <t>Net sales by product (reported)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</row>
    <row r="39">
      <c r="B39" s="24" t="inlineStr">
        <is>
          <t>iPhone</t>
        </is>
      </c>
      <c r="D39" s="44" t="n">
        <v>91279</v>
      </c>
      <c r="E39" s="44" t="n">
        <v>101991</v>
      </c>
      <c r="F39" s="44" t="n">
        <v>155041</v>
      </c>
    </row>
    <row r="40">
      <c r="B40" s="24" t="inlineStr">
        <is>
          <t>iPad</t>
        </is>
      </c>
      <c r="D40" s="44" t="n">
        <v>31980</v>
      </c>
      <c r="E40" s="44" t="n">
        <v>30283</v>
      </c>
      <c r="F40" s="44" t="n">
        <v>23227</v>
      </c>
    </row>
    <row r="41">
      <c r="B41" s="24" t="inlineStr">
        <is>
          <t>Mac</t>
        </is>
      </c>
      <c r="D41" s="44" t="n">
        <v>21483</v>
      </c>
      <c r="E41" s="44" t="n">
        <v>24079</v>
      </c>
      <c r="F41" s="44" t="n">
        <v>25471</v>
      </c>
    </row>
    <row r="42">
      <c r="B42" s="24" t="inlineStr">
        <is>
          <t>Services</t>
        </is>
      </c>
      <c r="D42" s="44" t="n">
        <v>16051</v>
      </c>
      <c r="E42" s="44" t="n">
        <v>18063</v>
      </c>
      <c r="F42" s="44" t="n">
        <v>19909</v>
      </c>
    </row>
    <row r="43">
      <c r="B43" s="24" t="inlineStr">
        <is>
          <t>Other Products</t>
        </is>
      </c>
      <c r="D43" s="44" t="n">
        <v>10117</v>
      </c>
      <c r="E43" s="44" t="n">
        <v>8379</v>
      </c>
      <c r="F43" s="44" t="n">
        <v>10067</v>
      </c>
    </row>
    <row r="44">
      <c r="B44" s="41" t="inlineStr">
        <is>
          <t>Total</t>
        </is>
      </c>
      <c r="D44" s="46">
        <f>SUM(D39:D43)</f>
        <v/>
      </c>
      <c r="E44" s="46">
        <f>SUM(E39:E43)</f>
        <v/>
      </c>
      <c r="F44" s="46">
        <f>SUM(F39:F43)</f>
        <v/>
      </c>
    </row>
    <row r="45">
      <c r="B45" s="55" t="inlineStr">
        <is>
          <t>Check: segments - net sales</t>
        </is>
      </c>
      <c r="D45" s="56">
        <f>D44-D7</f>
        <v/>
      </c>
      <c r="E45" s="56">
        <f>E44-E7</f>
        <v/>
      </c>
      <c r="F45" s="56">
        <f>F44-F7</f>
        <v/>
      </c>
    </row>
  </sheetData>
  <mergeCells count="2">
    <mergeCell ref="G3:K3"/>
    <mergeCell ref="D3:F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45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4" t="inlineStr">
        <is>
          <t>Apple Inc.: Balance Sheet</t>
        </is>
      </c>
    </row>
    <row r="2">
      <c r="B2" s="15" t="inlineStr">
        <is>
          <t>USD in millions, except per-share data. Blue = input / reported, black = formula, green = link to another sheet.</t>
        </is>
      </c>
    </row>
    <row r="3">
      <c r="E3" s="16" t="inlineStr">
        <is>
          <t>Historical</t>
        </is>
      </c>
      <c r="F3" s="17" t="n"/>
      <c r="G3" s="18" t="inlineStr">
        <is>
          <t>Projected</t>
        </is>
      </c>
      <c r="H3" s="19" t="n"/>
      <c r="I3" s="19" t="n"/>
      <c r="J3" s="19" t="n"/>
      <c r="K3" s="19" t="n"/>
    </row>
    <row r="4">
      <c r="B4" s="20" t="inlineStr">
        <is>
          <t>Fiscal year ending September</t>
        </is>
      </c>
      <c r="C4" s="17" t="n"/>
      <c r="D4" s="17" t="n"/>
      <c r="E4" s="21" t="n">
        <v>2014</v>
      </c>
      <c r="F4" s="21" t="n">
        <v>2015</v>
      </c>
      <c r="G4" s="22" t="n">
        <v>2016</v>
      </c>
      <c r="H4" s="22" t="n">
        <v>2017</v>
      </c>
      <c r="I4" s="22" t="n">
        <v>2018</v>
      </c>
      <c r="J4" s="22" t="n">
        <v>2019</v>
      </c>
      <c r="K4" s="22" t="n">
        <v>2020</v>
      </c>
    </row>
    <row r="6">
      <c r="B6" s="23" t="inlineStr">
        <is>
          <t>Assets</t>
        </is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B7" s="24" t="inlineStr">
        <is>
          <t>Cash and cash equivalents</t>
        </is>
      </c>
      <c r="E7" s="44" t="n">
        <v>13844</v>
      </c>
      <c r="F7" s="44" t="n">
        <v>21120</v>
      </c>
      <c r="G7" s="45">
        <f>'CFS'!G46</f>
        <v/>
      </c>
      <c r="H7" s="45">
        <f>'CFS'!H46</f>
        <v/>
      </c>
      <c r="I7" s="45">
        <f>'CFS'!I46</f>
        <v/>
      </c>
      <c r="J7" s="45">
        <f>'CFS'!J46</f>
        <v/>
      </c>
      <c r="K7" s="45">
        <f>'CFS'!K46</f>
        <v/>
      </c>
    </row>
    <row r="8">
      <c r="B8" s="24" t="inlineStr">
        <is>
          <t>Short-term marketable securities</t>
        </is>
      </c>
      <c r="E8" s="44" t="n">
        <v>11233</v>
      </c>
      <c r="F8" s="44" t="n">
        <v>20481</v>
      </c>
      <c r="G8" s="50">
        <f>F8</f>
        <v/>
      </c>
      <c r="H8" s="50">
        <f>G8</f>
        <v/>
      </c>
      <c r="I8" s="50">
        <f>H8</f>
        <v/>
      </c>
      <c r="J8" s="50">
        <f>I8</f>
        <v/>
      </c>
      <c r="K8" s="50">
        <f>J8</f>
        <v/>
      </c>
    </row>
    <row r="9">
      <c r="B9" s="24" t="inlineStr">
        <is>
          <t>Accounts receivable</t>
        </is>
      </c>
      <c r="E9" s="44" t="n">
        <v>17460</v>
      </c>
      <c r="F9" s="44" t="n">
        <v>16849</v>
      </c>
      <c r="G9" s="45">
        <f>'IS'!G7*'Inputs'!G37/'Inputs'!$D$17</f>
        <v/>
      </c>
      <c r="H9" s="45">
        <f>'IS'!H7*'Inputs'!H37/'Inputs'!$D$17</f>
        <v/>
      </c>
      <c r="I9" s="45">
        <f>'IS'!I7*'Inputs'!I37/'Inputs'!$D$17</f>
        <v/>
      </c>
      <c r="J9" s="45">
        <f>'IS'!J7*'Inputs'!J37/'Inputs'!$D$17</f>
        <v/>
      </c>
      <c r="K9" s="45">
        <f>'IS'!K7*'Inputs'!K37/'Inputs'!$D$17</f>
        <v/>
      </c>
    </row>
    <row r="10">
      <c r="B10" s="24" t="inlineStr">
        <is>
          <t>Inventories</t>
        </is>
      </c>
      <c r="E10" s="44" t="n">
        <v>2111</v>
      </c>
      <c r="F10" s="44" t="n">
        <v>2349</v>
      </c>
      <c r="G10" s="45">
        <f>'IS'!G8*'Inputs'!G38/'Inputs'!$D$17</f>
        <v/>
      </c>
      <c r="H10" s="45">
        <f>'IS'!H8*'Inputs'!H38/'Inputs'!$D$17</f>
        <v/>
      </c>
      <c r="I10" s="45">
        <f>'IS'!I8*'Inputs'!I38/'Inputs'!$D$17</f>
        <v/>
      </c>
      <c r="J10" s="45">
        <f>'IS'!J8*'Inputs'!J38/'Inputs'!$D$17</f>
        <v/>
      </c>
      <c r="K10" s="45">
        <f>'IS'!K8*'Inputs'!K38/'Inputs'!$D$17</f>
        <v/>
      </c>
    </row>
    <row r="11">
      <c r="B11" s="24" t="inlineStr">
        <is>
          <t>Deferred tax assets</t>
        </is>
      </c>
      <c r="E11" s="44" t="n">
        <v>4318</v>
      </c>
      <c r="F11" s="44" t="n">
        <v>5546</v>
      </c>
      <c r="G11" s="50">
        <f>F11</f>
        <v/>
      </c>
      <c r="H11" s="50">
        <f>G11</f>
        <v/>
      </c>
      <c r="I11" s="50">
        <f>H11</f>
        <v/>
      </c>
      <c r="J11" s="50">
        <f>I11</f>
        <v/>
      </c>
      <c r="K11" s="50">
        <f>J11</f>
        <v/>
      </c>
    </row>
    <row r="12">
      <c r="B12" s="24" t="inlineStr">
        <is>
          <t>Vendor non-trade receivables</t>
        </is>
      </c>
      <c r="E12" s="44" t="n">
        <v>9759</v>
      </c>
      <c r="F12" s="44" t="n">
        <v>13494</v>
      </c>
      <c r="G12" s="45">
        <f>'IS'!G7*'Inputs'!G40</f>
        <v/>
      </c>
      <c r="H12" s="45">
        <f>'IS'!H7*'Inputs'!H40</f>
        <v/>
      </c>
      <c r="I12" s="45">
        <f>'IS'!I7*'Inputs'!I40</f>
        <v/>
      </c>
      <c r="J12" s="45">
        <f>'IS'!J7*'Inputs'!J40</f>
        <v/>
      </c>
      <c r="K12" s="45">
        <f>'IS'!K7*'Inputs'!K40</f>
        <v/>
      </c>
    </row>
    <row r="13">
      <c r="B13" s="24" t="inlineStr">
        <is>
          <t>Other current assets</t>
        </is>
      </c>
      <c r="E13" s="44" t="n">
        <v>9806</v>
      </c>
      <c r="F13" s="44" t="n">
        <v>9539</v>
      </c>
      <c r="G13" s="45">
        <f>'IS'!G7*'Inputs'!G41</f>
        <v/>
      </c>
      <c r="H13" s="45">
        <f>'IS'!H7*'Inputs'!H41</f>
        <v/>
      </c>
      <c r="I13" s="45">
        <f>'IS'!I7*'Inputs'!I41</f>
        <v/>
      </c>
      <c r="J13" s="45">
        <f>'IS'!J7*'Inputs'!J41</f>
        <v/>
      </c>
      <c r="K13" s="45">
        <f>'IS'!K7*'Inputs'!K41</f>
        <v/>
      </c>
    </row>
    <row r="14">
      <c r="B14" s="41" t="inlineStr">
        <is>
          <t>Total current assets</t>
        </is>
      </c>
      <c r="E14" s="46">
        <f>SUM(E7:E13)</f>
        <v/>
      </c>
      <c r="F14" s="46">
        <f>SUM(F7:F13)</f>
        <v/>
      </c>
      <c r="G14" s="46">
        <f>SUM(G7:G13)</f>
        <v/>
      </c>
      <c r="H14" s="46">
        <f>SUM(H7:H13)</f>
        <v/>
      </c>
      <c r="I14" s="46">
        <f>SUM(I7:I13)</f>
        <v/>
      </c>
      <c r="J14" s="46">
        <f>SUM(J7:J13)</f>
        <v/>
      </c>
      <c r="K14" s="46">
        <f>SUM(K7:K13)</f>
        <v/>
      </c>
    </row>
    <row r="15">
      <c r="B15" s="24" t="inlineStr">
        <is>
          <t>Long-term marketable securities</t>
        </is>
      </c>
      <c r="E15" s="44" t="n">
        <v>130162</v>
      </c>
      <c r="F15" s="44" t="n">
        <v>164065</v>
      </c>
      <c r="G15" s="50">
        <f>F15</f>
        <v/>
      </c>
      <c r="H15" s="50">
        <f>G15</f>
        <v/>
      </c>
      <c r="I15" s="50">
        <f>H15</f>
        <v/>
      </c>
      <c r="J15" s="50">
        <f>I15</f>
        <v/>
      </c>
      <c r="K15" s="50">
        <f>J15</f>
        <v/>
      </c>
    </row>
    <row r="16">
      <c r="B16" s="24" t="inlineStr">
        <is>
          <t>Property, plant and equipment, net</t>
        </is>
      </c>
      <c r="E16" s="44" t="n">
        <v>20624</v>
      </c>
      <c r="F16" s="44" t="n">
        <v>22471</v>
      </c>
      <c r="G16" s="45">
        <f>F16-'CFS'!G28-'IS'!G16</f>
        <v/>
      </c>
      <c r="H16" s="45">
        <f>G16-'CFS'!H28-'IS'!H16</f>
        <v/>
      </c>
      <c r="I16" s="45">
        <f>H16-'CFS'!I28-'IS'!I16</f>
        <v/>
      </c>
      <c r="J16" s="45">
        <f>I16-'CFS'!J28-'IS'!J16</f>
        <v/>
      </c>
      <c r="K16" s="45">
        <f>J16-'CFS'!K28-'IS'!K16</f>
        <v/>
      </c>
    </row>
    <row r="17">
      <c r="B17" s="24" t="inlineStr">
        <is>
          <t>Goodwill</t>
        </is>
      </c>
      <c r="E17" s="44" t="n">
        <v>4616</v>
      </c>
      <c r="F17" s="44" t="n">
        <v>5116</v>
      </c>
      <c r="G17" s="50">
        <f>F17</f>
        <v/>
      </c>
      <c r="H17" s="50">
        <f>G17</f>
        <v/>
      </c>
      <c r="I17" s="50">
        <f>H17</f>
        <v/>
      </c>
      <c r="J17" s="50">
        <f>I17</f>
        <v/>
      </c>
      <c r="K17" s="50">
        <f>J17</f>
        <v/>
      </c>
    </row>
    <row r="18">
      <c r="B18" s="24" t="inlineStr">
        <is>
          <t>Acquired intangible assets, net</t>
        </is>
      </c>
      <c r="E18" s="44" t="n">
        <v>4142</v>
      </c>
      <c r="F18" s="44" t="n">
        <v>3893</v>
      </c>
      <c r="G18" s="50">
        <f>F18</f>
        <v/>
      </c>
      <c r="H18" s="50">
        <f>G18</f>
        <v/>
      </c>
      <c r="I18" s="50">
        <f>H18</f>
        <v/>
      </c>
      <c r="J18" s="50">
        <f>I18</f>
        <v/>
      </c>
      <c r="K18" s="50">
        <f>J18</f>
        <v/>
      </c>
    </row>
    <row r="19">
      <c r="B19" s="24" t="inlineStr">
        <is>
          <t>Other assets</t>
        </is>
      </c>
      <c r="E19" s="44" t="n">
        <v>3764</v>
      </c>
      <c r="F19" s="44" t="n">
        <v>5556</v>
      </c>
      <c r="G19" s="50">
        <f>F19</f>
        <v/>
      </c>
      <c r="H19" s="50">
        <f>G19</f>
        <v/>
      </c>
      <c r="I19" s="50">
        <f>H19</f>
        <v/>
      </c>
      <c r="J19" s="50">
        <f>I19</f>
        <v/>
      </c>
      <c r="K19" s="50">
        <f>J19</f>
        <v/>
      </c>
    </row>
    <row r="20">
      <c r="B20" s="41" t="inlineStr">
        <is>
          <t>Total assets</t>
        </is>
      </c>
      <c r="E20" s="51">
        <f>E14+SUM(E15:E19)</f>
        <v/>
      </c>
      <c r="F20" s="51">
        <f>F14+SUM(F15:F19)</f>
        <v/>
      </c>
      <c r="G20" s="51">
        <f>G14+SUM(G15:G19)</f>
        <v/>
      </c>
      <c r="H20" s="51">
        <f>H14+SUM(H15:H19)</f>
        <v/>
      </c>
      <c r="I20" s="51">
        <f>I14+SUM(I15:I19)</f>
        <v/>
      </c>
      <c r="J20" s="51">
        <f>J14+SUM(J15:J19)</f>
        <v/>
      </c>
      <c r="K20" s="51">
        <f>K14+SUM(K15:K19)</f>
        <v/>
      </c>
    </row>
    <row r="22">
      <c r="B22" s="23" t="inlineStr">
        <is>
          <t>Liabilities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</row>
    <row r="23">
      <c r="B23" s="24" t="inlineStr">
        <is>
          <t>Accounts payable</t>
        </is>
      </c>
      <c r="E23" s="44" t="n">
        <v>30196</v>
      </c>
      <c r="F23" s="44" t="n">
        <v>35490</v>
      </c>
      <c r="G23" s="45">
        <f>'IS'!G8*'Inputs'!G39/'Inputs'!$D$17</f>
        <v/>
      </c>
      <c r="H23" s="45">
        <f>'IS'!H8*'Inputs'!H39/'Inputs'!$D$17</f>
        <v/>
      </c>
      <c r="I23" s="45">
        <f>'IS'!I8*'Inputs'!I39/'Inputs'!$D$17</f>
        <v/>
      </c>
      <c r="J23" s="45">
        <f>'IS'!J8*'Inputs'!J39/'Inputs'!$D$17</f>
        <v/>
      </c>
      <c r="K23" s="45">
        <f>'IS'!K8*'Inputs'!K39/'Inputs'!$D$17</f>
        <v/>
      </c>
    </row>
    <row r="24">
      <c r="B24" s="24" t="inlineStr">
        <is>
          <t>Accrued expenses</t>
        </is>
      </c>
      <c r="E24" s="44" t="n">
        <v>18453</v>
      </c>
      <c r="F24" s="44" t="n">
        <v>25181</v>
      </c>
      <c r="G24" s="45">
        <f>'IS'!G7*'Inputs'!G42</f>
        <v/>
      </c>
      <c r="H24" s="45">
        <f>'IS'!H7*'Inputs'!H42</f>
        <v/>
      </c>
      <c r="I24" s="45">
        <f>'IS'!I7*'Inputs'!I42</f>
        <v/>
      </c>
      <c r="J24" s="45">
        <f>'IS'!J7*'Inputs'!J42</f>
        <v/>
      </c>
      <c r="K24" s="45">
        <f>'IS'!K7*'Inputs'!K42</f>
        <v/>
      </c>
    </row>
    <row r="25">
      <c r="B25" s="24" t="inlineStr">
        <is>
          <t>Deferred revenue</t>
        </is>
      </c>
      <c r="E25" s="44" t="n">
        <v>8491</v>
      </c>
      <c r="F25" s="44" t="n">
        <v>8940</v>
      </c>
      <c r="G25" s="45">
        <f>'IS'!G7*'Inputs'!G43</f>
        <v/>
      </c>
      <c r="H25" s="45">
        <f>'IS'!H7*'Inputs'!H43</f>
        <v/>
      </c>
      <c r="I25" s="45">
        <f>'IS'!I7*'Inputs'!I43</f>
        <v/>
      </c>
      <c r="J25" s="45">
        <f>'IS'!J7*'Inputs'!J43</f>
        <v/>
      </c>
      <c r="K25" s="45">
        <f>'IS'!K7*'Inputs'!K43</f>
        <v/>
      </c>
    </row>
    <row r="26">
      <c r="B26" s="24" t="inlineStr">
        <is>
          <t>Commercial paper</t>
        </is>
      </c>
      <c r="E26" s="44" t="n">
        <v>6308</v>
      </c>
      <c r="F26" s="44" t="n">
        <v>8499</v>
      </c>
      <c r="G26" s="50">
        <f>F26</f>
        <v/>
      </c>
      <c r="H26" s="50">
        <f>G26</f>
        <v/>
      </c>
      <c r="I26" s="50">
        <f>H26</f>
        <v/>
      </c>
      <c r="J26" s="50">
        <f>I26</f>
        <v/>
      </c>
      <c r="K26" s="50">
        <f>J26</f>
        <v/>
      </c>
    </row>
    <row r="27">
      <c r="B27" s="24" t="inlineStr">
        <is>
          <t>Current portion of long-term debt</t>
        </is>
      </c>
      <c r="E27" s="44" t="n">
        <v>0</v>
      </c>
      <c r="F27" s="44" t="n">
        <v>2500</v>
      </c>
      <c r="G27" s="50">
        <f>F27</f>
        <v/>
      </c>
      <c r="H27" s="50">
        <f>G27</f>
        <v/>
      </c>
      <c r="I27" s="50">
        <f>H27</f>
        <v/>
      </c>
      <c r="J27" s="50">
        <f>I27</f>
        <v/>
      </c>
      <c r="K27" s="50">
        <f>J27</f>
        <v/>
      </c>
    </row>
    <row r="28">
      <c r="B28" s="41" t="inlineStr">
        <is>
          <t>Total current liabilities</t>
        </is>
      </c>
      <c r="E28" s="46">
        <f>SUM(E23:E27)</f>
        <v/>
      </c>
      <c r="F28" s="46">
        <f>SUM(F23:F27)</f>
        <v/>
      </c>
      <c r="G28" s="46">
        <f>SUM(G23:G27)</f>
        <v/>
      </c>
      <c r="H28" s="46">
        <f>SUM(H23:H27)</f>
        <v/>
      </c>
      <c r="I28" s="46">
        <f>SUM(I23:I27)</f>
        <v/>
      </c>
      <c r="J28" s="46">
        <f>SUM(J23:J27)</f>
        <v/>
      </c>
      <c r="K28" s="46">
        <f>SUM(K23:K27)</f>
        <v/>
      </c>
    </row>
    <row r="29">
      <c r="B29" s="24" t="inlineStr">
        <is>
          <t>Deferred revenue, non-current</t>
        </is>
      </c>
      <c r="E29" s="44" t="n">
        <v>3031</v>
      </c>
      <c r="F29" s="44" t="n">
        <v>3624</v>
      </c>
      <c r="G29" s="50">
        <f>F29</f>
        <v/>
      </c>
      <c r="H29" s="50">
        <f>G29</f>
        <v/>
      </c>
      <c r="I29" s="50">
        <f>H29</f>
        <v/>
      </c>
      <c r="J29" s="50">
        <f>I29</f>
        <v/>
      </c>
      <c r="K29" s="50">
        <f>J29</f>
        <v/>
      </c>
    </row>
    <row r="30">
      <c r="B30" s="24" t="inlineStr">
        <is>
          <t>Long-term debt</t>
        </is>
      </c>
      <c r="E30" s="44" t="n">
        <v>28987</v>
      </c>
      <c r="F30" s="44" t="n">
        <v>53463</v>
      </c>
      <c r="G30" s="50">
        <f>F30</f>
        <v/>
      </c>
      <c r="H30" s="50">
        <f>G30</f>
        <v/>
      </c>
      <c r="I30" s="50">
        <f>H30</f>
        <v/>
      </c>
      <c r="J30" s="50">
        <f>I30</f>
        <v/>
      </c>
      <c r="K30" s="50">
        <f>J30</f>
        <v/>
      </c>
    </row>
    <row r="31">
      <c r="B31" s="24" t="inlineStr">
        <is>
          <t>Other non-current liabilities</t>
        </is>
      </c>
      <c r="E31" s="44" t="n">
        <v>24826</v>
      </c>
      <c r="F31" s="44" t="n">
        <v>33427</v>
      </c>
      <c r="G31" s="50">
        <f>F31</f>
        <v/>
      </c>
      <c r="H31" s="50">
        <f>G31</f>
        <v/>
      </c>
      <c r="I31" s="50">
        <f>H31</f>
        <v/>
      </c>
      <c r="J31" s="50">
        <f>I31</f>
        <v/>
      </c>
      <c r="K31" s="50">
        <f>J31</f>
        <v/>
      </c>
    </row>
    <row r="32">
      <c r="B32" s="41" t="inlineStr">
        <is>
          <t>Total liabilities</t>
        </is>
      </c>
      <c r="E32" s="46">
        <f>E28+SUM(E29:E31)</f>
        <v/>
      </c>
      <c r="F32" s="46">
        <f>F28+SUM(F29:F31)</f>
        <v/>
      </c>
      <c r="G32" s="46">
        <f>G28+SUM(G29:G31)</f>
        <v/>
      </c>
      <c r="H32" s="46">
        <f>H28+SUM(H29:H31)</f>
        <v/>
      </c>
      <c r="I32" s="46">
        <f>I28+SUM(I29:I31)</f>
        <v/>
      </c>
      <c r="J32" s="46">
        <f>J28+SUM(J29:J31)</f>
        <v/>
      </c>
      <c r="K32" s="46">
        <f>K28+SUM(K29:K31)</f>
        <v/>
      </c>
    </row>
    <row r="34">
      <c r="B34" s="23" t="inlineStr">
        <is>
          <t>Shareholders' equity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</row>
    <row r="35">
      <c r="B35" s="24" t="inlineStr">
        <is>
          <t>Common stock and additional paid-in capital</t>
        </is>
      </c>
      <c r="E35" s="44" t="n">
        <v>23313</v>
      </c>
      <c r="F35" s="44" t="n">
        <v>27416</v>
      </c>
      <c r="G35" s="50">
        <f>F35</f>
        <v/>
      </c>
      <c r="H35" s="50">
        <f>G35</f>
        <v/>
      </c>
      <c r="I35" s="50">
        <f>H35</f>
        <v/>
      </c>
      <c r="J35" s="50">
        <f>I35</f>
        <v/>
      </c>
      <c r="K35" s="50">
        <f>J35</f>
        <v/>
      </c>
    </row>
    <row r="36">
      <c r="B36" s="24" t="inlineStr">
        <is>
          <t>Retained earnings</t>
        </is>
      </c>
      <c r="E36" s="44" t="n">
        <v>87152</v>
      </c>
      <c r="F36" s="44" t="n">
        <v>92284</v>
      </c>
      <c r="G36" s="45">
        <f>F36+'IS'!G24+'CFS'!G37+'CFS'!G38</f>
        <v/>
      </c>
      <c r="H36" s="45">
        <f>G36+'IS'!H24+'CFS'!H37+'CFS'!H38</f>
        <v/>
      </c>
      <c r="I36" s="45">
        <f>H36+'IS'!I24+'CFS'!I37+'CFS'!I38</f>
        <v/>
      </c>
      <c r="J36" s="45">
        <f>I36+'IS'!J24+'CFS'!J37+'CFS'!J38</f>
        <v/>
      </c>
      <c r="K36" s="45">
        <f>J36+'IS'!K24+'CFS'!K37+'CFS'!K38</f>
        <v/>
      </c>
    </row>
    <row r="37">
      <c r="B37" s="24" t="inlineStr">
        <is>
          <t>Accumulated other comprehensive income</t>
        </is>
      </c>
      <c r="E37" s="44" t="n">
        <v>1082</v>
      </c>
      <c r="F37" s="44" t="n">
        <v>-345</v>
      </c>
      <c r="G37" s="50">
        <f>F37</f>
        <v/>
      </c>
      <c r="H37" s="50">
        <f>G37</f>
        <v/>
      </c>
      <c r="I37" s="50">
        <f>H37</f>
        <v/>
      </c>
      <c r="J37" s="50">
        <f>I37</f>
        <v/>
      </c>
      <c r="K37" s="50">
        <f>J37</f>
        <v/>
      </c>
    </row>
    <row r="38">
      <c r="B38" s="41" t="inlineStr">
        <is>
          <t>Total shareholders' equity</t>
        </is>
      </c>
      <c r="E38" s="46">
        <f>SUM(E35:E37)</f>
        <v/>
      </c>
      <c r="F38" s="46">
        <f>SUM(F35:F37)</f>
        <v/>
      </c>
      <c r="G38" s="46">
        <f>SUM(G35:G37)</f>
        <v/>
      </c>
      <c r="H38" s="46">
        <f>SUM(H35:H37)</f>
        <v/>
      </c>
      <c r="I38" s="46">
        <f>SUM(I35:I37)</f>
        <v/>
      </c>
      <c r="J38" s="46">
        <f>SUM(J35:J37)</f>
        <v/>
      </c>
      <c r="K38" s="46">
        <f>SUM(K35:K37)</f>
        <v/>
      </c>
    </row>
    <row r="39">
      <c r="B39" s="41" t="inlineStr">
        <is>
          <t>Total liabilities and shareholders' equity</t>
        </is>
      </c>
      <c r="E39" s="51">
        <f>E32+E38</f>
        <v/>
      </c>
      <c r="F39" s="51">
        <f>F32+F38</f>
        <v/>
      </c>
      <c r="G39" s="51">
        <f>G32+G38</f>
        <v/>
      </c>
      <c r="H39" s="51">
        <f>H32+H38</f>
        <v/>
      </c>
      <c r="I39" s="51">
        <f>I32+I38</f>
        <v/>
      </c>
      <c r="J39" s="51">
        <f>J32+J38</f>
        <v/>
      </c>
      <c r="K39" s="51">
        <f>K32+K38</f>
        <v/>
      </c>
    </row>
    <row r="40">
      <c r="B40" s="55" t="inlineStr">
        <is>
          <t>Check: Assets - (Liabilities + Equity)</t>
        </is>
      </c>
      <c r="E40" s="56">
        <f>E20-E39</f>
        <v/>
      </c>
      <c r="F40" s="56">
        <f>F20-F39</f>
        <v/>
      </c>
      <c r="G40" s="56">
        <f>G20-G39</f>
        <v/>
      </c>
      <c r="H40" s="56">
        <f>H20-H39</f>
        <v/>
      </c>
      <c r="I40" s="56">
        <f>I20-I39</f>
        <v/>
      </c>
      <c r="J40" s="56">
        <f>J20-J39</f>
        <v/>
      </c>
      <c r="K40" s="56">
        <f>K20-K39</f>
        <v/>
      </c>
    </row>
    <row r="42">
      <c r="B42" s="23" t="inlineStr">
        <is>
          <t>Memo</t>
        </is>
      </c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>
      <c r="B43" s="24" t="inlineStr">
        <is>
          <t>Net working capital (operating)</t>
        </is>
      </c>
      <c r="E43" s="50">
        <f>(E14-E7-E8-E11)-(E28-E26-E27)</f>
        <v/>
      </c>
      <c r="F43" s="50">
        <f>(F14-F7-F8-F11)-(F28-F26-F27)</f>
        <v/>
      </c>
      <c r="G43" s="50">
        <f>(G14-G7-G8-G11)-(G28-G26-G27)</f>
        <v/>
      </c>
      <c r="H43" s="50">
        <f>(H14-H7-H8-H11)-(H28-H26-H27)</f>
        <v/>
      </c>
      <c r="I43" s="50">
        <f>(I14-I7-I8-I11)-(I28-I26-I27)</f>
        <v/>
      </c>
      <c r="J43" s="50">
        <f>(J14-J7-J8-J11)-(J28-J26-J27)</f>
        <v/>
      </c>
      <c r="K43" s="50">
        <f>(K14-K7-K8-K11)-(K28-K26-K27)</f>
        <v/>
      </c>
    </row>
    <row r="44">
      <c r="B44" s="24" t="inlineStr">
        <is>
          <t>Total debt</t>
        </is>
      </c>
      <c r="E44" s="50">
        <f>E26+E27+E30</f>
        <v/>
      </c>
      <c r="F44" s="50">
        <f>F26+F27+F30</f>
        <v/>
      </c>
      <c r="G44" s="50">
        <f>G26+G27+G30</f>
        <v/>
      </c>
      <c r="H44" s="50">
        <f>H26+H27+H30</f>
        <v/>
      </c>
      <c r="I44" s="50">
        <f>I26+I27+I30</f>
        <v/>
      </c>
      <c r="J44" s="50">
        <f>J26+J27+J30</f>
        <v/>
      </c>
      <c r="K44" s="50">
        <f>K26+K27+K30</f>
        <v/>
      </c>
    </row>
    <row r="45">
      <c r="B45" s="24" t="inlineStr">
        <is>
          <t>Cash and marketable securities</t>
        </is>
      </c>
      <c r="E45" s="50">
        <f>E7+E8+E15</f>
        <v/>
      </c>
      <c r="F45" s="50">
        <f>F7+F8+F15</f>
        <v/>
      </c>
      <c r="G45" s="50">
        <f>G7+G8+G15</f>
        <v/>
      </c>
      <c r="H45" s="50">
        <f>H7+H8+H15</f>
        <v/>
      </c>
      <c r="I45" s="50">
        <f>I7+I8+I15</f>
        <v/>
      </c>
      <c r="J45" s="50">
        <f>J7+J8+J15</f>
        <v/>
      </c>
      <c r="K45" s="50">
        <f>K7+K8+K15</f>
        <v/>
      </c>
    </row>
  </sheetData>
  <mergeCells count="2">
    <mergeCell ref="G3:K3"/>
    <mergeCell ref="E3:F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K48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4" t="inlineStr">
        <is>
          <t>Apple Inc.: Cash Flow Statement</t>
        </is>
      </c>
    </row>
    <row r="2">
      <c r="B2" s="15" t="inlineStr">
        <is>
          <t>USD in millions, except per-share data. Blue = input / reported, black = formula, green = link to another sheet.</t>
        </is>
      </c>
    </row>
    <row r="3">
      <c r="D3" s="16" t="inlineStr">
        <is>
          <t>Historical</t>
        </is>
      </c>
      <c r="E3" s="17" t="n"/>
      <c r="F3" s="17" t="n"/>
      <c r="G3" s="18" t="inlineStr">
        <is>
          <t>Projected</t>
        </is>
      </c>
      <c r="H3" s="19" t="n"/>
      <c r="I3" s="19" t="n"/>
      <c r="J3" s="19" t="n"/>
      <c r="K3" s="19" t="n"/>
    </row>
    <row r="4">
      <c r="B4" s="20" t="inlineStr">
        <is>
          <t>Fiscal year ending September</t>
        </is>
      </c>
      <c r="C4" s="17" t="n"/>
      <c r="D4" s="21" t="n">
        <v>2013</v>
      </c>
      <c r="E4" s="21" t="n">
        <v>2014</v>
      </c>
      <c r="F4" s="21" t="n">
        <v>2015</v>
      </c>
      <c r="G4" s="22" t="n">
        <v>2016</v>
      </c>
      <c r="H4" s="22" t="n">
        <v>2017</v>
      </c>
      <c r="I4" s="22" t="n">
        <v>2018</v>
      </c>
      <c r="J4" s="22" t="n">
        <v>2019</v>
      </c>
      <c r="K4" s="22" t="n">
        <v>2020</v>
      </c>
    </row>
    <row r="6">
      <c r="B6" s="24" t="inlineStr">
        <is>
          <t>Cash, beginning of year</t>
        </is>
      </c>
      <c r="D6" s="44" t="n">
        <v>10746</v>
      </c>
      <c r="E6" s="44" t="n">
        <v>14259</v>
      </c>
      <c r="F6" s="44" t="n">
        <v>13844</v>
      </c>
      <c r="G6" s="45">
        <f>'BS'!F7</f>
        <v/>
      </c>
      <c r="H6" s="45">
        <f>'BS'!G7</f>
        <v/>
      </c>
      <c r="I6" s="45">
        <f>'BS'!H7</f>
        <v/>
      </c>
      <c r="J6" s="45">
        <f>'BS'!I7</f>
        <v/>
      </c>
      <c r="K6" s="45">
        <f>'BS'!J7</f>
        <v/>
      </c>
    </row>
    <row r="8">
      <c r="B8" s="23" t="inlineStr">
        <is>
          <t>Operating activities</t>
        </is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</row>
    <row r="9">
      <c r="B9" s="24" t="inlineStr">
        <is>
          <t>Net income</t>
        </is>
      </c>
      <c r="D9" s="44" t="n">
        <v>37037</v>
      </c>
      <c r="E9" s="44" t="n">
        <v>39510</v>
      </c>
      <c r="F9" s="44" t="n">
        <v>53394</v>
      </c>
      <c r="G9" s="45">
        <f>'IS'!G24</f>
        <v/>
      </c>
      <c r="H9" s="45">
        <f>'IS'!H24</f>
        <v/>
      </c>
      <c r="I9" s="45">
        <f>'IS'!I24</f>
        <v/>
      </c>
      <c r="J9" s="45">
        <f>'IS'!J24</f>
        <v/>
      </c>
      <c r="K9" s="45">
        <f>'IS'!K24</f>
        <v/>
      </c>
    </row>
    <row r="10">
      <c r="B10" s="24" t="inlineStr">
        <is>
          <t>Depreciation and amortization</t>
        </is>
      </c>
      <c r="D10" s="44" t="n">
        <v>6757</v>
      </c>
      <c r="E10" s="44" t="n">
        <v>7946</v>
      </c>
      <c r="F10" s="44" t="n">
        <v>11257</v>
      </c>
      <c r="G10" s="45">
        <f>'IS'!G16</f>
        <v/>
      </c>
      <c r="H10" s="45">
        <f>'IS'!H16</f>
        <v/>
      </c>
      <c r="I10" s="45">
        <f>'IS'!I16</f>
        <v/>
      </c>
      <c r="J10" s="45">
        <f>'IS'!J16</f>
        <v/>
      </c>
      <c r="K10" s="45">
        <f>'IS'!K16</f>
        <v/>
      </c>
    </row>
    <row r="11">
      <c r="B11" s="24" t="inlineStr">
        <is>
          <t>Share-based compensation</t>
        </is>
      </c>
      <c r="D11" s="44" t="n">
        <v>2253</v>
      </c>
      <c r="E11" s="44" t="n">
        <v>2863</v>
      </c>
      <c r="F11" s="44" t="n">
        <v>3586</v>
      </c>
    </row>
    <row r="12">
      <c r="B12" s="24" t="inlineStr">
        <is>
          <t>Deferred income taxes</t>
        </is>
      </c>
      <c r="D12" s="44" t="n">
        <v>1141</v>
      </c>
      <c r="E12" s="44" t="n">
        <v>2347</v>
      </c>
      <c r="F12" s="44" t="n">
        <v>1382</v>
      </c>
    </row>
    <row r="13">
      <c r="B13" s="24" t="inlineStr">
        <is>
          <t>Other non-cash items</t>
        </is>
      </c>
      <c r="D13" s="44" t="n">
        <v>0</v>
      </c>
      <c r="E13" s="44" t="n">
        <v>0</v>
      </c>
      <c r="F13" s="44" t="n">
        <v>0</v>
      </c>
    </row>
    <row r="14">
      <c r="B14" s="24" t="inlineStr">
        <is>
          <t>(Increase) / decrease in receivables</t>
        </is>
      </c>
      <c r="D14" s="44" t="n">
        <v>-2172</v>
      </c>
      <c r="E14" s="44" t="n">
        <v>-4232</v>
      </c>
      <c r="F14" s="44" t="n">
        <v>611</v>
      </c>
      <c r="G14" s="45">
        <f>'BS'!F9-'BS'!G9</f>
        <v/>
      </c>
      <c r="H14" s="45">
        <f>'BS'!G9-'BS'!H9</f>
        <v/>
      </c>
      <c r="I14" s="45">
        <f>'BS'!H9-'BS'!I9</f>
        <v/>
      </c>
      <c r="J14" s="45">
        <f>'BS'!I9-'BS'!J9</f>
        <v/>
      </c>
      <c r="K14" s="45">
        <f>'BS'!J9-'BS'!K9</f>
        <v/>
      </c>
    </row>
    <row r="15">
      <c r="B15" s="24" t="inlineStr">
        <is>
          <t>(Increase) / decrease in inventories</t>
        </is>
      </c>
      <c r="D15" s="44" t="n">
        <v>-973</v>
      </c>
      <c r="E15" s="44" t="n">
        <v>-76</v>
      </c>
      <c r="F15" s="44" t="n">
        <v>-238</v>
      </c>
      <c r="G15" s="45">
        <f>'BS'!F10-'BS'!G10</f>
        <v/>
      </c>
      <c r="H15" s="45">
        <f>'BS'!G10-'BS'!H10</f>
        <v/>
      </c>
      <c r="I15" s="45">
        <f>'BS'!H10-'BS'!I10</f>
        <v/>
      </c>
      <c r="J15" s="45">
        <f>'BS'!I10-'BS'!J10</f>
        <v/>
      </c>
      <c r="K15" s="45">
        <f>'BS'!J10-'BS'!K10</f>
        <v/>
      </c>
    </row>
    <row r="16">
      <c r="B16" s="24" t="inlineStr">
        <is>
          <t>(Increase) / decrease in vendor receivables</t>
        </is>
      </c>
      <c r="D16" s="44" t="n">
        <v>223</v>
      </c>
      <c r="E16" s="44" t="n">
        <v>-2220</v>
      </c>
      <c r="F16" s="44" t="n">
        <v>-3735</v>
      </c>
      <c r="G16" s="45">
        <f>'BS'!F12-'BS'!G12</f>
        <v/>
      </c>
      <c r="H16" s="45">
        <f>'BS'!G12-'BS'!H12</f>
        <v/>
      </c>
      <c r="I16" s="45">
        <f>'BS'!H12-'BS'!I12</f>
        <v/>
      </c>
      <c r="J16" s="45">
        <f>'BS'!I12-'BS'!J12</f>
        <v/>
      </c>
      <c r="K16" s="45">
        <f>'BS'!J12-'BS'!K12</f>
        <v/>
      </c>
    </row>
    <row r="17">
      <c r="B17" s="24" t="inlineStr">
        <is>
          <t>(Increase) / decrease in other assets</t>
        </is>
      </c>
      <c r="D17" s="44" t="n">
        <v>1080</v>
      </c>
      <c r="E17" s="44" t="n">
        <v>167</v>
      </c>
      <c r="F17" s="44" t="n">
        <v>-179</v>
      </c>
      <c r="G17" s="45">
        <f>'BS'!F13-'BS'!G13</f>
        <v/>
      </c>
      <c r="H17" s="45">
        <f>'BS'!G13-'BS'!H13</f>
        <v/>
      </c>
      <c r="I17" s="45">
        <f>'BS'!H13-'BS'!I13</f>
        <v/>
      </c>
      <c r="J17" s="45">
        <f>'BS'!I13-'BS'!J13</f>
        <v/>
      </c>
      <c r="K17" s="45">
        <f>'BS'!J13-'BS'!K13</f>
        <v/>
      </c>
    </row>
    <row r="18">
      <c r="B18" s="24" t="inlineStr">
        <is>
          <t>Increase / (decrease) in payables</t>
        </is>
      </c>
      <c r="D18" s="44" t="n">
        <v>2340</v>
      </c>
      <c r="E18" s="44" t="n">
        <v>5938</v>
      </c>
      <c r="F18" s="44" t="n">
        <v>5400</v>
      </c>
      <c r="G18" s="45">
        <f>'BS'!G23-'BS'!F23</f>
        <v/>
      </c>
      <c r="H18" s="45">
        <f>'BS'!H23-'BS'!G23</f>
        <v/>
      </c>
      <c r="I18" s="45">
        <f>'BS'!I23-'BS'!H23</f>
        <v/>
      </c>
      <c r="J18" s="45">
        <f>'BS'!J23-'BS'!I23</f>
        <v/>
      </c>
      <c r="K18" s="45">
        <f>'BS'!K23-'BS'!J23</f>
        <v/>
      </c>
    </row>
    <row r="19">
      <c r="B19" s="24" t="inlineStr">
        <is>
          <t>Increase / (decrease) in deferred revenue</t>
        </is>
      </c>
      <c r="D19" s="44" t="n">
        <v>1459</v>
      </c>
      <c r="E19" s="44" t="n">
        <v>1460</v>
      </c>
      <c r="F19" s="44" t="n">
        <v>1042</v>
      </c>
      <c r="G19" s="45">
        <f>'BS'!G25-'BS'!F25</f>
        <v/>
      </c>
      <c r="H19" s="45">
        <f>'BS'!H25-'BS'!G25</f>
        <v/>
      </c>
      <c r="I19" s="45">
        <f>'BS'!I25-'BS'!H25</f>
        <v/>
      </c>
      <c r="J19" s="45">
        <f>'BS'!J25-'BS'!I25</f>
        <v/>
      </c>
      <c r="K19" s="45">
        <f>'BS'!K25-'BS'!J25</f>
        <v/>
      </c>
    </row>
    <row r="20">
      <c r="B20" s="24" t="inlineStr">
        <is>
          <t>Increase / (decrease) in other liabilities</t>
        </is>
      </c>
      <c r="D20" s="44" t="n">
        <v>4521</v>
      </c>
      <c r="E20" s="44" t="n">
        <v>6010</v>
      </c>
      <c r="F20" s="44" t="n">
        <v>8746</v>
      </c>
      <c r="G20" s="45">
        <f>'BS'!G24-'BS'!F24</f>
        <v/>
      </c>
      <c r="H20" s="45">
        <f>'BS'!H24-'BS'!G24</f>
        <v/>
      </c>
      <c r="I20" s="45">
        <f>'BS'!I24-'BS'!H24</f>
        <v/>
      </c>
      <c r="J20" s="45">
        <f>'BS'!J24-'BS'!I24</f>
        <v/>
      </c>
      <c r="K20" s="45">
        <f>'BS'!K24-'BS'!J24</f>
        <v/>
      </c>
    </row>
    <row r="21">
      <c r="B21" s="41" t="inlineStr">
        <is>
          <t>Cash from operating activities</t>
        </is>
      </c>
      <c r="D21" s="46">
        <f>SUM(D9:D20)</f>
        <v/>
      </c>
      <c r="E21" s="46">
        <f>SUM(E9:E20)</f>
        <v/>
      </c>
      <c r="F21" s="46">
        <f>SUM(F9:F20)</f>
        <v/>
      </c>
      <c r="G21" s="46">
        <f>SUM(G9:G20)</f>
        <v/>
      </c>
      <c r="H21" s="46">
        <f>SUM(H9:H20)</f>
        <v/>
      </c>
      <c r="I21" s="46">
        <f>SUM(I9:I20)</f>
        <v/>
      </c>
      <c r="J21" s="46">
        <f>SUM(J9:J20)</f>
        <v/>
      </c>
      <c r="K21" s="46">
        <f>SUM(K9:K20)</f>
        <v/>
      </c>
    </row>
    <row r="23">
      <c r="B23" s="23" t="inlineStr">
        <is>
          <t>Investing activities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</row>
    <row r="24">
      <c r="B24" s="24" t="inlineStr">
        <is>
          <t>Purchases of marketable securities</t>
        </is>
      </c>
      <c r="D24" s="44" t="n">
        <v>-148489</v>
      </c>
      <c r="E24" s="44" t="n">
        <v>-217128</v>
      </c>
      <c r="F24" s="44" t="n">
        <v>-166402</v>
      </c>
    </row>
    <row r="25">
      <c r="B25" s="24" t="inlineStr">
        <is>
          <t>Maturities of marketable securities</t>
        </is>
      </c>
      <c r="D25" s="44" t="n">
        <v>20317</v>
      </c>
      <c r="E25" s="44" t="n">
        <v>18810</v>
      </c>
      <c r="F25" s="44" t="n">
        <v>14538</v>
      </c>
    </row>
    <row r="26">
      <c r="B26" s="24" t="inlineStr">
        <is>
          <t>Sales of marketable securities</t>
        </is>
      </c>
      <c r="D26" s="44" t="n">
        <v>104130</v>
      </c>
      <c r="E26" s="44" t="n">
        <v>189301</v>
      </c>
      <c r="F26" s="44" t="n">
        <v>107447</v>
      </c>
    </row>
    <row r="27">
      <c r="B27" s="24" t="inlineStr">
        <is>
          <t>Business acquisitions, net</t>
        </is>
      </c>
      <c r="D27" s="44" t="n">
        <v>-496</v>
      </c>
      <c r="E27" s="44" t="n">
        <v>-3765</v>
      </c>
      <c r="F27" s="44" t="n">
        <v>-343</v>
      </c>
    </row>
    <row r="28">
      <c r="B28" s="24" t="inlineStr">
        <is>
          <t>Capital expenditures</t>
        </is>
      </c>
      <c r="D28" s="44" t="n">
        <v>-8165</v>
      </c>
      <c r="E28" s="44" t="n">
        <v>-9571</v>
      </c>
      <c r="F28" s="44" t="n">
        <v>-11247</v>
      </c>
      <c r="G28" s="45">
        <f>-'IS'!G7*'Inputs'!G35</f>
        <v/>
      </c>
      <c r="H28" s="45">
        <f>-'IS'!H7*'Inputs'!H35</f>
        <v/>
      </c>
      <c r="I28" s="45">
        <f>-'IS'!I7*'Inputs'!I35</f>
        <v/>
      </c>
      <c r="J28" s="45">
        <f>-'IS'!J7*'Inputs'!J35</f>
        <v/>
      </c>
      <c r="K28" s="45">
        <f>-'IS'!K7*'Inputs'!K35</f>
        <v/>
      </c>
    </row>
    <row r="29">
      <c r="B29" s="24" t="inlineStr">
        <is>
          <t>Purchases of intangible assets</t>
        </is>
      </c>
      <c r="D29" s="44" t="n">
        <v>-911</v>
      </c>
      <c r="E29" s="44" t="n">
        <v>-242</v>
      </c>
      <c r="F29" s="44" t="n">
        <v>-241</v>
      </c>
    </row>
    <row r="30">
      <c r="B30" s="24" t="inlineStr">
        <is>
          <t>Other investing</t>
        </is>
      </c>
      <c r="D30" s="44" t="n">
        <v>-160</v>
      </c>
      <c r="E30" s="44" t="n">
        <v>16</v>
      </c>
      <c r="F30" s="44" t="n">
        <v>-26</v>
      </c>
    </row>
    <row r="31">
      <c r="B31" s="41" t="inlineStr">
        <is>
          <t>Cash from investing activities</t>
        </is>
      </c>
      <c r="D31" s="46">
        <f>SUM(D24:D30)</f>
        <v/>
      </c>
      <c r="E31" s="46">
        <f>SUM(E24:E30)</f>
        <v/>
      </c>
      <c r="F31" s="46">
        <f>SUM(F24:F30)</f>
        <v/>
      </c>
      <c r="G31" s="46">
        <f>SUM(G24:G30)</f>
        <v/>
      </c>
      <c r="H31" s="46">
        <f>SUM(H24:H30)</f>
        <v/>
      </c>
      <c r="I31" s="46">
        <f>SUM(I24:I30)</f>
        <v/>
      </c>
      <c r="J31" s="46">
        <f>SUM(J24:J30)</f>
        <v/>
      </c>
      <c r="K31" s="46">
        <f>SUM(K24:K30)</f>
        <v/>
      </c>
    </row>
    <row r="33">
      <c r="B33" s="23" t="inlineStr">
        <is>
          <t>Financing activities</t>
        </is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</row>
    <row r="34">
      <c r="B34" s="24" t="inlineStr">
        <is>
          <t>Proceeds from issuance of common stock</t>
        </is>
      </c>
      <c r="D34" s="44" t="n">
        <v>530</v>
      </c>
      <c r="E34" s="44" t="n">
        <v>730</v>
      </c>
      <c r="F34" s="44" t="n">
        <v>543</v>
      </c>
    </row>
    <row r="35">
      <c r="B35" s="24" t="inlineStr">
        <is>
          <t>Excess tax benefits from equity awards</t>
        </is>
      </c>
      <c r="D35" s="44" t="n">
        <v>701</v>
      </c>
      <c r="E35" s="44" t="n">
        <v>739</v>
      </c>
      <c r="F35" s="44" t="n">
        <v>749</v>
      </c>
    </row>
    <row r="36">
      <c r="B36" s="24" t="inlineStr">
        <is>
          <t>Taxes on net share settlement</t>
        </is>
      </c>
      <c r="D36" s="44" t="n">
        <v>-1082</v>
      </c>
      <c r="E36" s="44" t="n">
        <v>-1158</v>
      </c>
      <c r="F36" s="44" t="n">
        <v>-1499</v>
      </c>
    </row>
    <row r="37">
      <c r="B37" s="24" t="inlineStr">
        <is>
          <t>Dividends paid</t>
        </is>
      </c>
      <c r="D37" s="44" t="n">
        <v>-10564</v>
      </c>
      <c r="E37" s="44" t="n">
        <v>-11126</v>
      </c>
      <c r="F37" s="44" t="n">
        <v>-11561</v>
      </c>
      <c r="G37" s="45">
        <f>-'IS'!G24*'Inputs'!G46</f>
        <v/>
      </c>
      <c r="H37" s="45">
        <f>-'IS'!H24*'Inputs'!H46</f>
        <v/>
      </c>
      <c r="I37" s="45">
        <f>-'IS'!I24*'Inputs'!I46</f>
        <v/>
      </c>
      <c r="J37" s="45">
        <f>-'IS'!J24*'Inputs'!J46</f>
        <v/>
      </c>
      <c r="K37" s="45">
        <f>-'IS'!K24*'Inputs'!K46</f>
        <v/>
      </c>
    </row>
    <row r="38">
      <c r="B38" s="24" t="inlineStr">
        <is>
          <t>Repurchases of common stock</t>
        </is>
      </c>
      <c r="D38" s="44" t="n">
        <v>-22860</v>
      </c>
      <c r="E38" s="44" t="n">
        <v>-45000</v>
      </c>
      <c r="F38" s="44" t="n">
        <v>-35253</v>
      </c>
      <c r="G38" s="45">
        <f>-'IS'!G24*'Inputs'!G47</f>
        <v/>
      </c>
      <c r="H38" s="45">
        <f>-'IS'!H24*'Inputs'!H47</f>
        <v/>
      </c>
      <c r="I38" s="45">
        <f>-'IS'!I24*'Inputs'!I47</f>
        <v/>
      </c>
      <c r="J38" s="45">
        <f>-'IS'!J24*'Inputs'!J47</f>
        <v/>
      </c>
      <c r="K38" s="45">
        <f>-'IS'!K24*'Inputs'!K47</f>
        <v/>
      </c>
    </row>
    <row r="39">
      <c r="B39" s="24" t="inlineStr">
        <is>
          <t>Proceeds from issuance of debt, net</t>
        </is>
      </c>
      <c r="D39" s="44" t="n">
        <v>16896</v>
      </c>
      <c r="E39" s="44" t="n">
        <v>11960</v>
      </c>
      <c r="F39" s="44" t="n">
        <v>27114</v>
      </c>
    </row>
    <row r="40">
      <c r="B40" s="24" t="inlineStr">
        <is>
          <t>Repayment of debt</t>
        </is>
      </c>
      <c r="D40" s="44" t="n">
        <v>0</v>
      </c>
      <c r="E40" s="44" t="n">
        <v>0</v>
      </c>
      <c r="F40" s="44" t="n">
        <v>0</v>
      </c>
    </row>
    <row r="41">
      <c r="B41" s="24" t="inlineStr">
        <is>
          <t>Change in commercial paper, net</t>
        </is>
      </c>
      <c r="D41" s="44" t="n">
        <v>0</v>
      </c>
      <c r="E41" s="44" t="n">
        <v>6306</v>
      </c>
      <c r="F41" s="44" t="n">
        <v>2191</v>
      </c>
    </row>
    <row r="42">
      <c r="B42" s="24" t="inlineStr">
        <is>
          <t>Other financing</t>
        </is>
      </c>
      <c r="D42" s="44" t="n">
        <v>0</v>
      </c>
      <c r="E42" s="44" t="n">
        <v>0</v>
      </c>
      <c r="F42" s="44" t="n">
        <v>0</v>
      </c>
    </row>
    <row r="43">
      <c r="B43" s="41" t="inlineStr">
        <is>
          <t>Cash from financing activities</t>
        </is>
      </c>
      <c r="D43" s="46">
        <f>SUM(D34:D42)</f>
        <v/>
      </c>
      <c r="E43" s="46">
        <f>SUM(E34:E42)</f>
        <v/>
      </c>
      <c r="F43" s="46">
        <f>SUM(F34:F42)</f>
        <v/>
      </c>
      <c r="G43" s="46">
        <f>SUM(G34:G42)</f>
        <v/>
      </c>
      <c r="H43" s="46">
        <f>SUM(H34:H42)</f>
        <v/>
      </c>
      <c r="I43" s="46">
        <f>SUM(I34:I42)</f>
        <v/>
      </c>
      <c r="J43" s="46">
        <f>SUM(J34:J42)</f>
        <v/>
      </c>
      <c r="K43" s="46">
        <f>SUM(K34:K42)</f>
        <v/>
      </c>
    </row>
    <row r="45">
      <c r="B45" s="41" t="inlineStr">
        <is>
          <t>Net change in cash</t>
        </is>
      </c>
      <c r="D45" s="46">
        <f>D21+D31+D43</f>
        <v/>
      </c>
      <c r="E45" s="46">
        <f>E21+E31+E43</f>
        <v/>
      </c>
      <c r="F45" s="46">
        <f>F21+F31+F43</f>
        <v/>
      </c>
      <c r="G45" s="46">
        <f>G21+G31+G43</f>
        <v/>
      </c>
      <c r="H45" s="46">
        <f>H21+H31+H43</f>
        <v/>
      </c>
      <c r="I45" s="46">
        <f>I21+I31+I43</f>
        <v/>
      </c>
      <c r="J45" s="46">
        <f>J21+J31+J43</f>
        <v/>
      </c>
      <c r="K45" s="46">
        <f>K21+K31+K43</f>
        <v/>
      </c>
    </row>
    <row r="46">
      <c r="B46" s="41" t="inlineStr">
        <is>
          <t>Cash, end of year</t>
        </is>
      </c>
      <c r="D46" s="51">
        <f>D6+D45</f>
        <v/>
      </c>
      <c r="E46" s="51">
        <f>E6+E45</f>
        <v/>
      </c>
      <c r="F46" s="51">
        <f>F6+F45</f>
        <v/>
      </c>
      <c r="G46" s="51">
        <f>G6+G45</f>
        <v/>
      </c>
      <c r="H46" s="51">
        <f>H6+H45</f>
        <v/>
      </c>
      <c r="I46" s="51">
        <f>I6+I45</f>
        <v/>
      </c>
      <c r="J46" s="51">
        <f>J6+J45</f>
        <v/>
      </c>
      <c r="K46" s="51">
        <f>K6+K45</f>
        <v/>
      </c>
    </row>
    <row r="47">
      <c r="B47" s="55" t="inlineStr">
        <is>
          <t>Check: ending cash - balance sheet cash</t>
        </is>
      </c>
      <c r="E47" s="56">
        <f>E46-'BS'!E7</f>
        <v/>
      </c>
      <c r="F47" s="56">
        <f>F46-'BS'!F7</f>
        <v/>
      </c>
      <c r="G47" s="56">
        <f>G46-'BS'!G7</f>
        <v/>
      </c>
      <c r="H47" s="56">
        <f>H46-'BS'!H7</f>
        <v/>
      </c>
      <c r="I47" s="56">
        <f>I46-'BS'!I7</f>
        <v/>
      </c>
      <c r="J47" s="56">
        <f>J46-'BS'!J7</f>
        <v/>
      </c>
      <c r="K47" s="56">
        <f>K46-'BS'!K7</f>
        <v/>
      </c>
    </row>
    <row r="48">
      <c r="B48" s="55" t="inlineStr">
        <is>
          <t>Check: CFS net income - IS net income</t>
        </is>
      </c>
      <c r="D48" s="56">
        <f>D9-'IS'!D24</f>
        <v/>
      </c>
      <c r="E48" s="56">
        <f>E9-'IS'!E24</f>
        <v/>
      </c>
      <c r="F48" s="56">
        <f>F9-'IS'!F24</f>
        <v/>
      </c>
    </row>
  </sheetData>
  <mergeCells count="2">
    <mergeCell ref="G3:K3"/>
    <mergeCell ref="D3:F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48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4" t="inlineStr">
        <is>
          <t>Apple Inc.: Existing Debt Schedule (10-K)</t>
        </is>
      </c>
    </row>
    <row r="2">
      <c r="B2" s="15" t="inlineStr">
        <is>
          <t>USD in millions, except per-share data. Blue = input / reported, black = formula, green = link to another sheet.</t>
        </is>
      </c>
    </row>
    <row r="6">
      <c r="B6" s="23" t="inlineStr">
        <is>
          <t>Term debt tranches</t>
        </is>
      </c>
      <c r="C6" s="57" t="inlineStr">
        <is>
          <t>Currency</t>
        </is>
      </c>
      <c r="D6" s="57" t="inlineStr">
        <is>
          <t>Principal</t>
        </is>
      </c>
      <c r="E6" s="57" t="inlineStr">
        <is>
          <t>Eff. rate low</t>
        </is>
      </c>
      <c r="F6" s="57" t="inlineStr">
        <is>
          <t>Eff. rate high</t>
        </is>
      </c>
      <c r="G6" s="57" t="inlineStr">
        <is>
          <t>Eff. rate mid</t>
        </is>
      </c>
      <c r="H6" s="57" t="inlineStr">
        <is>
          <t>Maturity from</t>
        </is>
      </c>
      <c r="I6" s="57" t="inlineStr">
        <is>
          <t>Maturity to</t>
        </is>
      </c>
      <c r="J6" s="23" t="n"/>
      <c r="K6" s="23" t="n"/>
    </row>
    <row r="7">
      <c r="B7" s="24" t="inlineStr">
        <is>
          <t>Floating-rate notes due 2016-2018 (USD)</t>
        </is>
      </c>
      <c r="C7" s="58" t="inlineStr">
        <is>
          <t>USD</t>
        </is>
      </c>
      <c r="D7" s="44" t="n">
        <v>3000</v>
      </c>
      <c r="E7" s="59" t="n">
        <v>0.0051</v>
      </c>
      <c r="F7" s="59" t="n">
        <v>0.011</v>
      </c>
      <c r="G7" s="39">
        <f>(E7+F7)/2</f>
        <v/>
      </c>
      <c r="H7" s="60" t="n">
        <v>2016</v>
      </c>
      <c r="I7" s="60" t="n">
        <v>2018</v>
      </c>
    </row>
    <row r="8">
      <c r="B8" s="24" t="inlineStr">
        <is>
          <t>Fixed-rate 0.45%-3.85% notes due 2016-2043 (USD)</t>
        </is>
      </c>
      <c r="C8" s="58" t="inlineStr">
        <is>
          <t>USD</t>
        </is>
      </c>
      <c r="D8" s="44" t="n">
        <v>14000</v>
      </c>
      <c r="E8" s="59" t="n">
        <v>0.0051</v>
      </c>
      <c r="F8" s="59" t="n">
        <v>0.0391</v>
      </c>
      <c r="G8" s="39">
        <f>(E8+F8)/2</f>
        <v/>
      </c>
      <c r="H8" s="60" t="n">
        <v>2016</v>
      </c>
      <c r="I8" s="60" t="n">
        <v>2043</v>
      </c>
    </row>
    <row r="9">
      <c r="B9" s="24" t="inlineStr">
        <is>
          <t>Floating-rate notes due 2017-2019 (USD)</t>
        </is>
      </c>
      <c r="C9" s="58" t="inlineStr">
        <is>
          <t>USD</t>
        </is>
      </c>
      <c r="D9" s="44" t="n">
        <v>2000</v>
      </c>
      <c r="E9" s="59" t="n">
        <v>0.0037</v>
      </c>
      <c r="F9" s="59" t="n">
        <v>0.006</v>
      </c>
      <c r="G9" s="39">
        <f>(E9+F9)/2</f>
        <v/>
      </c>
      <c r="H9" s="60" t="n">
        <v>2017</v>
      </c>
      <c r="I9" s="60" t="n">
        <v>2019</v>
      </c>
    </row>
    <row r="10">
      <c r="B10" s="24" t="inlineStr">
        <is>
          <t>Fixed-rate 1.05%-4.45% notes due 2017-2044 (USD)</t>
        </is>
      </c>
      <c r="C10" s="58" t="inlineStr">
        <is>
          <t>USD</t>
        </is>
      </c>
      <c r="D10" s="44" t="n">
        <v>10000</v>
      </c>
      <c r="E10" s="59" t="n">
        <v>0.0037</v>
      </c>
      <c r="F10" s="59" t="n">
        <v>0.0448</v>
      </c>
      <c r="G10" s="39">
        <f>(E10+F10)/2</f>
        <v/>
      </c>
      <c r="H10" s="60" t="n">
        <v>2017</v>
      </c>
      <c r="I10" s="60" t="n">
        <v>2044</v>
      </c>
    </row>
    <row r="11">
      <c r="B11" s="24" t="inlineStr">
        <is>
          <t>Fixed-rate 1.000% notes due 2022 (EUR)</t>
        </is>
      </c>
      <c r="C11" s="58" t="inlineStr">
        <is>
          <t>EUR</t>
        </is>
      </c>
      <c r="D11" s="44" t="n">
        <v>1558</v>
      </c>
      <c r="E11" s="59" t="n">
        <v>0.0294</v>
      </c>
      <c r="F11" s="59" t="n">
        <v>0.0294</v>
      </c>
      <c r="G11" s="39">
        <f>(E11+F11)/2</f>
        <v/>
      </c>
      <c r="H11" s="60" t="n">
        <v>2022</v>
      </c>
      <c r="I11" s="60" t="n">
        <v>2022</v>
      </c>
    </row>
    <row r="12">
      <c r="B12" s="24" t="inlineStr">
        <is>
          <t>Fixed-rate 1.625% notes due 2026 (EUR)</t>
        </is>
      </c>
      <c r="C12" s="58" t="inlineStr">
        <is>
          <t>EUR</t>
        </is>
      </c>
      <c r="D12" s="44" t="n">
        <v>1558</v>
      </c>
      <c r="E12" s="59" t="n">
        <v>0.0345</v>
      </c>
      <c r="F12" s="59" t="n">
        <v>0.0345</v>
      </c>
      <c r="G12" s="39">
        <f>(E12+F12)/2</f>
        <v/>
      </c>
      <c r="H12" s="60" t="n">
        <v>2026</v>
      </c>
      <c r="I12" s="60" t="n">
        <v>2026</v>
      </c>
    </row>
    <row r="13">
      <c r="B13" s="24" t="inlineStr">
        <is>
          <t>Floating-rate notes due 2020 (USD)</t>
        </is>
      </c>
      <c r="C13" s="58" t="inlineStr">
        <is>
          <t>USD</t>
        </is>
      </c>
      <c r="D13" s="44" t="n">
        <v>500</v>
      </c>
      <c r="E13" s="59" t="n">
        <v>0.0056</v>
      </c>
      <c r="F13" s="59" t="n">
        <v>0.0056</v>
      </c>
      <c r="G13" s="39">
        <f>(E13+F13)/2</f>
        <v/>
      </c>
      <c r="H13" s="60" t="n">
        <v>2020</v>
      </c>
      <c r="I13" s="60" t="n">
        <v>2020</v>
      </c>
    </row>
    <row r="14">
      <c r="B14" s="24" t="inlineStr">
        <is>
          <t>Fixed-rate 1.55% notes due 2020 (USD)</t>
        </is>
      </c>
      <c r="C14" s="58" t="inlineStr">
        <is>
          <t>USD</t>
        </is>
      </c>
      <c r="D14" s="44" t="n">
        <v>1250</v>
      </c>
      <c r="E14" s="59" t="n">
        <v>0.0056</v>
      </c>
      <c r="F14" s="59" t="n">
        <v>0.0056</v>
      </c>
      <c r="G14" s="39">
        <f>(E14+F14)/2</f>
        <v/>
      </c>
      <c r="H14" s="60" t="n">
        <v>2020</v>
      </c>
      <c r="I14" s="60" t="n">
        <v>2020</v>
      </c>
    </row>
    <row r="15">
      <c r="B15" s="24" t="inlineStr">
        <is>
          <t>Fixed-rate 2.15% notes due 2022 (USD)</t>
        </is>
      </c>
      <c r="C15" s="58" t="inlineStr">
        <is>
          <t>USD</t>
        </is>
      </c>
      <c r="D15" s="44" t="n">
        <v>1250</v>
      </c>
      <c r="E15" s="59" t="n">
        <v>0.008699999999999999</v>
      </c>
      <c r="F15" s="59" t="n">
        <v>0.008699999999999999</v>
      </c>
      <c r="G15" s="39">
        <f>(E15+F15)/2</f>
        <v/>
      </c>
      <c r="H15" s="60" t="n">
        <v>2022</v>
      </c>
      <c r="I15" s="60" t="n">
        <v>2022</v>
      </c>
    </row>
    <row r="16">
      <c r="B16" s="24" t="inlineStr">
        <is>
          <t>Fixed-rate 2.50% notes due 2025 (USD)</t>
        </is>
      </c>
      <c r="C16" s="58" t="inlineStr">
        <is>
          <t>USD</t>
        </is>
      </c>
      <c r="D16" s="44" t="n">
        <v>1500</v>
      </c>
      <c r="E16" s="59" t="n">
        <v>0.026</v>
      </c>
      <c r="F16" s="59" t="n">
        <v>0.026</v>
      </c>
      <c r="G16" s="39">
        <f>(E16+F16)/2</f>
        <v/>
      </c>
      <c r="H16" s="60" t="n">
        <v>2025</v>
      </c>
      <c r="I16" s="60" t="n">
        <v>2025</v>
      </c>
    </row>
    <row r="17">
      <c r="B17" s="24" t="inlineStr">
        <is>
          <t>Fixed-rate 3.45% notes due 2045 (USD)</t>
        </is>
      </c>
      <c r="C17" s="58" t="inlineStr">
        <is>
          <t>USD</t>
        </is>
      </c>
      <c r="D17" s="44" t="n">
        <v>2000</v>
      </c>
      <c r="E17" s="59" t="n">
        <v>0.0358</v>
      </c>
      <c r="F17" s="59" t="n">
        <v>0.0358</v>
      </c>
      <c r="G17" s="39">
        <f>(E17+F17)/2</f>
        <v/>
      </c>
      <c r="H17" s="60" t="n">
        <v>2045</v>
      </c>
      <c r="I17" s="60" t="n">
        <v>2045</v>
      </c>
    </row>
    <row r="18">
      <c r="B18" s="24" t="inlineStr">
        <is>
          <t>Fixed-rate 0.375% notes due 2024 (CHF)</t>
        </is>
      </c>
      <c r="C18" s="58" t="inlineStr">
        <is>
          <t>CHF</t>
        </is>
      </c>
      <c r="D18" s="44" t="n">
        <v>895</v>
      </c>
      <c r="E18" s="59" t="n">
        <v>0.0028</v>
      </c>
      <c r="F18" s="59" t="n">
        <v>0.0028</v>
      </c>
      <c r="G18" s="39">
        <f>(E18+F18)/2</f>
        <v/>
      </c>
      <c r="H18" s="60" t="n">
        <v>2024</v>
      </c>
      <c r="I18" s="60" t="n">
        <v>2024</v>
      </c>
    </row>
    <row r="19">
      <c r="B19" s="24" t="inlineStr">
        <is>
          <t>Fixed-rate 0.750% notes due 2030 (CHF)</t>
        </is>
      </c>
      <c r="C19" s="58" t="inlineStr">
        <is>
          <t>CHF</t>
        </is>
      </c>
      <c r="D19" s="44" t="n">
        <v>384</v>
      </c>
      <c r="E19" s="59" t="n">
        <v>0.0074</v>
      </c>
      <c r="F19" s="59" t="n">
        <v>0.0074</v>
      </c>
      <c r="G19" s="39">
        <f>(E19+F19)/2</f>
        <v/>
      </c>
      <c r="H19" s="60" t="n">
        <v>2030</v>
      </c>
      <c r="I19" s="60" t="n">
        <v>2030</v>
      </c>
    </row>
    <row r="20">
      <c r="B20" s="24" t="inlineStr">
        <is>
          <t>Floating-rate notes due 2017 (USD)</t>
        </is>
      </c>
      <c r="C20" s="58" t="inlineStr">
        <is>
          <t>USD</t>
        </is>
      </c>
      <c r="D20" s="44" t="n">
        <v>250</v>
      </c>
      <c r="E20" s="59" t="n">
        <v>0.0036</v>
      </c>
      <c r="F20" s="59" t="n">
        <v>0.0036</v>
      </c>
      <c r="G20" s="39">
        <f>(E20+F20)/2</f>
        <v/>
      </c>
      <c r="H20" s="60" t="n">
        <v>2017</v>
      </c>
      <c r="I20" s="60" t="n">
        <v>2017</v>
      </c>
    </row>
    <row r="21">
      <c r="B21" s="24" t="inlineStr">
        <is>
          <t>Floating-rate notes due 2020 (USD)</t>
        </is>
      </c>
      <c r="C21" s="58" t="inlineStr">
        <is>
          <t>USD</t>
        </is>
      </c>
      <c r="D21" s="44" t="n">
        <v>500</v>
      </c>
      <c r="E21" s="59" t="n">
        <v>0.0061</v>
      </c>
      <c r="F21" s="59" t="n">
        <v>0.0061</v>
      </c>
      <c r="G21" s="39">
        <f>(E21+F21)/2</f>
        <v/>
      </c>
      <c r="H21" s="60" t="n">
        <v>2020</v>
      </c>
      <c r="I21" s="60" t="n">
        <v>2020</v>
      </c>
    </row>
    <row r="22">
      <c r="B22" s="24" t="inlineStr">
        <is>
          <t>Fixed-rate 0.900% notes due 2017 (USD)</t>
        </is>
      </c>
      <c r="C22" s="58" t="inlineStr">
        <is>
          <t>USD</t>
        </is>
      </c>
      <c r="D22" s="44" t="n">
        <v>750</v>
      </c>
      <c r="E22" s="59" t="n">
        <v>0.0035</v>
      </c>
      <c r="F22" s="59" t="n">
        <v>0.0035</v>
      </c>
      <c r="G22" s="39">
        <f>(E22+F22)/2</f>
        <v/>
      </c>
      <c r="H22" s="60" t="n">
        <v>2017</v>
      </c>
      <c r="I22" s="60" t="n">
        <v>2017</v>
      </c>
    </row>
    <row r="23">
      <c r="B23" s="24" t="inlineStr">
        <is>
          <t>Fixed-rate 2.000% notes due 2020 (USD)</t>
        </is>
      </c>
      <c r="C23" s="58" t="inlineStr">
        <is>
          <t>USD</t>
        </is>
      </c>
      <c r="D23" s="44" t="n">
        <v>1250</v>
      </c>
      <c r="E23" s="59" t="n">
        <v>0.0061</v>
      </c>
      <c r="F23" s="59" t="n">
        <v>0.0061</v>
      </c>
      <c r="G23" s="39">
        <f>(E23+F23)/2</f>
        <v/>
      </c>
      <c r="H23" s="60" t="n">
        <v>2020</v>
      </c>
      <c r="I23" s="60" t="n">
        <v>2020</v>
      </c>
    </row>
    <row r="24">
      <c r="B24" s="24" t="inlineStr">
        <is>
          <t>Fixed-rate 2.700% notes due 2022 (USD)</t>
        </is>
      </c>
      <c r="C24" s="58" t="inlineStr">
        <is>
          <t>USD</t>
        </is>
      </c>
      <c r="D24" s="44" t="n">
        <v>1250</v>
      </c>
      <c r="E24" s="59" t="n">
        <v>0.009900000000000001</v>
      </c>
      <c r="F24" s="59" t="n">
        <v>0.009900000000000001</v>
      </c>
      <c r="G24" s="39">
        <f>(E24+F24)/2</f>
        <v/>
      </c>
      <c r="H24" s="60" t="n">
        <v>2022</v>
      </c>
      <c r="I24" s="60" t="n">
        <v>2022</v>
      </c>
    </row>
    <row r="25">
      <c r="B25" s="24" t="inlineStr">
        <is>
          <t>Fixed-rate 3.200% notes due 2025 (USD)</t>
        </is>
      </c>
      <c r="C25" s="58" t="inlineStr">
        <is>
          <t>USD</t>
        </is>
      </c>
      <c r="D25" s="44" t="n">
        <v>2000</v>
      </c>
      <c r="E25" s="59" t="n">
        <v>0.0122</v>
      </c>
      <c r="F25" s="59" t="n">
        <v>0.0122</v>
      </c>
      <c r="G25" s="39">
        <f>(E25+F25)/2</f>
        <v/>
      </c>
      <c r="H25" s="60" t="n">
        <v>2025</v>
      </c>
      <c r="I25" s="60" t="n">
        <v>2025</v>
      </c>
    </row>
    <row r="26">
      <c r="B26" s="24" t="inlineStr">
        <is>
          <t>Fixed-rate 4.375% notes due 2045 (USD)</t>
        </is>
      </c>
      <c r="C26" s="58" t="inlineStr">
        <is>
          <t>USD</t>
        </is>
      </c>
      <c r="D26" s="44" t="n">
        <v>2000</v>
      </c>
      <c r="E26" s="59" t="n">
        <v>0.044</v>
      </c>
      <c r="F26" s="59" t="n">
        <v>0.044</v>
      </c>
      <c r="G26" s="39">
        <f>(E26+F26)/2</f>
        <v/>
      </c>
      <c r="H26" s="60" t="n">
        <v>2045</v>
      </c>
      <c r="I26" s="60" t="n">
        <v>2045</v>
      </c>
    </row>
    <row r="27">
      <c r="B27" s="24" t="inlineStr">
        <is>
          <t>Fixed-rate 0.35% notes due 2020 (JPY)</t>
        </is>
      </c>
      <c r="C27" s="58" t="inlineStr">
        <is>
          <t>JPY</t>
        </is>
      </c>
      <c r="D27" s="44" t="n">
        <v>2081</v>
      </c>
      <c r="E27" s="59" t="n">
        <v>0.0035</v>
      </c>
      <c r="F27" s="59" t="n">
        <v>0.0035</v>
      </c>
      <c r="G27" s="39">
        <f>(E27+F27)/2</f>
        <v/>
      </c>
      <c r="H27" s="60" t="n">
        <v>2020</v>
      </c>
      <c r="I27" s="60" t="n">
        <v>2020</v>
      </c>
    </row>
    <row r="28">
      <c r="B28" s="24" t="inlineStr">
        <is>
          <t>Fixed-rate 3.05% notes due 2029 (GBP)</t>
        </is>
      </c>
      <c r="C28" s="58" t="inlineStr">
        <is>
          <t>GBP</t>
        </is>
      </c>
      <c r="D28" s="44" t="n">
        <v>1148</v>
      </c>
      <c r="E28" s="59" t="n">
        <v>0.0379</v>
      </c>
      <c r="F28" s="59" t="n">
        <v>0.0379</v>
      </c>
      <c r="G28" s="39">
        <f>(E28+F28)/2</f>
        <v/>
      </c>
      <c r="H28" s="60" t="n">
        <v>2029</v>
      </c>
      <c r="I28" s="60" t="n">
        <v>2029</v>
      </c>
    </row>
    <row r="29">
      <c r="B29" s="24" t="inlineStr">
        <is>
          <t>Fixed-rate 3.60% notes due 2042 (GBP)</t>
        </is>
      </c>
      <c r="C29" s="58" t="inlineStr">
        <is>
          <t>GBP</t>
        </is>
      </c>
      <c r="D29" s="44" t="n">
        <v>766</v>
      </c>
      <c r="E29" s="59" t="n">
        <v>0.0451</v>
      </c>
      <c r="F29" s="59" t="n">
        <v>0.0451</v>
      </c>
      <c r="G29" s="39">
        <f>(E29+F29)/2</f>
        <v/>
      </c>
      <c r="H29" s="60" t="n">
        <v>2042</v>
      </c>
      <c r="I29" s="60" t="n">
        <v>2042</v>
      </c>
    </row>
    <row r="30">
      <c r="B30" s="24" t="inlineStr">
        <is>
          <t>Floating-rate notes due 2019 (AUD)</t>
        </is>
      </c>
      <c r="C30" s="58" t="inlineStr">
        <is>
          <t>AUD</t>
        </is>
      </c>
      <c r="D30" s="44" t="n">
        <v>493</v>
      </c>
      <c r="E30" s="59" t="n">
        <v>0.0187</v>
      </c>
      <c r="F30" s="59" t="n">
        <v>0.0187</v>
      </c>
      <c r="G30" s="39">
        <f>(E30+F30)/2</f>
        <v/>
      </c>
      <c r="H30" s="60" t="n">
        <v>2019</v>
      </c>
      <c r="I30" s="60" t="n">
        <v>2019</v>
      </c>
    </row>
    <row r="31">
      <c r="B31" s="24" t="inlineStr">
        <is>
          <t>Fixed-rate 2.85% notes due 2019 (AUD)</t>
        </is>
      </c>
      <c r="C31" s="58" t="inlineStr">
        <is>
          <t>AUD</t>
        </is>
      </c>
      <c r="D31" s="44" t="n">
        <v>282</v>
      </c>
      <c r="E31" s="59" t="n">
        <v>0.0189</v>
      </c>
      <c r="F31" s="59" t="n">
        <v>0.0189</v>
      </c>
      <c r="G31" s="39">
        <f>(E31+F31)/2</f>
        <v/>
      </c>
      <c r="H31" s="60" t="n">
        <v>2019</v>
      </c>
      <c r="I31" s="60" t="n">
        <v>2019</v>
      </c>
    </row>
    <row r="32">
      <c r="B32" s="24" t="inlineStr">
        <is>
          <t>Fixed-rate 3.70% notes due 2022 (AUD)</t>
        </is>
      </c>
      <c r="C32" s="58" t="inlineStr">
        <is>
          <t>AUD</t>
        </is>
      </c>
      <c r="D32" s="44" t="n">
        <v>810</v>
      </c>
      <c r="E32" s="59" t="n">
        <v>0.0279</v>
      </c>
      <c r="F32" s="59" t="n">
        <v>0.0279</v>
      </c>
      <c r="G32" s="39">
        <f>(E32+F32)/2</f>
        <v/>
      </c>
      <c r="H32" s="60" t="n">
        <v>2022</v>
      </c>
      <c r="I32" s="60" t="n">
        <v>2022</v>
      </c>
    </row>
    <row r="33">
      <c r="B33" s="24" t="inlineStr">
        <is>
          <t>Fixed-rate 1.375% notes due 2024 (EUR)</t>
        </is>
      </c>
      <c r="C33" s="58" t="inlineStr">
        <is>
          <t>EUR</t>
        </is>
      </c>
      <c r="D33" s="44" t="n">
        <v>1113</v>
      </c>
      <c r="E33" s="59" t="n">
        <v>0.033</v>
      </c>
      <c r="F33" s="59" t="n">
        <v>0.033</v>
      </c>
      <c r="G33" s="39">
        <f>(E33+F33)/2</f>
        <v/>
      </c>
      <c r="H33" s="60" t="n">
        <v>2024</v>
      </c>
      <c r="I33" s="60" t="n">
        <v>2024</v>
      </c>
    </row>
    <row r="34">
      <c r="B34" s="24" t="inlineStr">
        <is>
          <t>Fixed-rate 2.000% notes due 2027 (EUR)</t>
        </is>
      </c>
      <c r="C34" s="58" t="inlineStr">
        <is>
          <t>EUR</t>
        </is>
      </c>
      <c r="D34" s="44" t="n">
        <v>1113</v>
      </c>
      <c r="E34" s="59" t="n">
        <v>0.0385</v>
      </c>
      <c r="F34" s="59" t="n">
        <v>0.0385</v>
      </c>
      <c r="G34" s="39">
        <f>(E34+F34)/2</f>
        <v/>
      </c>
      <c r="H34" s="60" t="n">
        <v>2027</v>
      </c>
      <c r="I34" s="60" t="n">
        <v>2027</v>
      </c>
    </row>
    <row r="36">
      <c r="B36" s="23" t="inlineStr">
        <is>
          <t>Reconciliation to balance sheet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</row>
    <row r="37">
      <c r="B37" s="41" t="inlineStr">
        <is>
          <t>Sum of tranche principal</t>
        </is>
      </c>
      <c r="D37" s="46">
        <f>SUM(D7:D34)</f>
        <v/>
      </c>
    </row>
    <row r="38">
      <c r="B38" s="24" t="inlineStr">
        <is>
          <t>Total term debt (reported)</t>
        </is>
      </c>
      <c r="D38" s="44" t="n">
        <v>55701</v>
      </c>
    </row>
    <row r="39">
      <c r="B39" s="55" t="inlineStr">
        <is>
          <t>Check: tranches - reported total</t>
        </is>
      </c>
      <c r="D39" s="56">
        <f>D37-D38</f>
        <v/>
      </c>
    </row>
    <row r="40">
      <c r="B40" s="24" t="inlineStr">
        <is>
          <t>Unamortized discount</t>
        </is>
      </c>
      <c r="D40" s="44" t="n">
        <v>-114</v>
      </c>
    </row>
    <row r="41">
      <c r="B41" s="24" t="inlineStr">
        <is>
          <t>Hedge accounting fair value adjustments</t>
        </is>
      </c>
      <c r="D41" s="44" t="n">
        <v>376</v>
      </c>
    </row>
    <row r="42">
      <c r="B42" s="41" t="inlineStr">
        <is>
          <t>Carrying value of term debt</t>
        </is>
      </c>
      <c r="D42" s="46">
        <f>D38+D40+D41</f>
        <v/>
      </c>
    </row>
    <row r="43">
      <c r="B43" s="24" t="inlineStr">
        <is>
          <t>Balance sheet: current + long-term debt</t>
        </is>
      </c>
      <c r="D43" s="45">
        <f>'BS'!F27+'BS'!F30</f>
        <v/>
      </c>
    </row>
    <row r="44">
      <c r="B44" s="55" t="inlineStr">
        <is>
          <t>Check: carrying value - balance sheet</t>
        </is>
      </c>
      <c r="D44" s="56">
        <f>D42-D43</f>
        <v/>
      </c>
    </row>
    <row r="45">
      <c r="B45" s="24" t="inlineStr">
        <is>
          <t>Commercial paper outstanding</t>
        </is>
      </c>
      <c r="D45" s="45">
        <f>'BS'!F26</f>
        <v/>
      </c>
    </row>
    <row r="46">
      <c r="B46" s="24" t="inlineStr">
        <is>
          <t>Commercial paper weighted-average rate</t>
        </is>
      </c>
      <c r="D46" s="59" t="n">
        <v>0.0014</v>
      </c>
    </row>
    <row r="47">
      <c r="B47" s="24" t="inlineStr">
        <is>
          <t>Term debt weighted-average effective rate</t>
        </is>
      </c>
      <c r="D47" s="39">
        <f>SUMPRODUCT(D7:D34,G7:G34)/D37</f>
        <v/>
      </c>
    </row>
    <row r="48">
      <c r="B48" s="41" t="inlineStr">
        <is>
          <t>Blended pre-tax cost of debt</t>
        </is>
      </c>
      <c r="D48" s="61">
        <f>(SUMPRODUCT(D7:D34,G7:G34)+D45*D46)/(D37+D45)</f>
        <v/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4" t="inlineStr">
        <is>
          <t>Apple Inc.: Discounted Cash Flow Valuation</t>
        </is>
      </c>
    </row>
    <row r="2">
      <c r="B2" s="15" t="inlineStr">
        <is>
          <t>USD in millions, except per-share data. Blue = input / reported, black = formula, green = link to another sheet.</t>
        </is>
      </c>
    </row>
    <row r="3">
      <c r="F3" s="16" t="inlineStr">
        <is>
          <t>Actual</t>
        </is>
      </c>
      <c r="G3" s="18" t="inlineStr">
        <is>
          <t>Projected</t>
        </is>
      </c>
      <c r="H3" s="19" t="n"/>
      <c r="I3" s="19" t="n"/>
      <c r="J3" s="19" t="n"/>
      <c r="K3" s="19" t="n"/>
    </row>
    <row r="4">
      <c r="B4" s="20" t="inlineStr">
        <is>
          <t>Fiscal year ending September</t>
        </is>
      </c>
      <c r="C4" s="17" t="n"/>
      <c r="D4" s="17" t="n"/>
      <c r="E4" s="17" t="n"/>
      <c r="F4" s="21" t="n">
        <v>2015</v>
      </c>
      <c r="G4" s="22" t="n">
        <v>2016</v>
      </c>
      <c r="H4" s="22" t="n">
        <v>2017</v>
      </c>
      <c r="I4" s="22" t="n">
        <v>2018</v>
      </c>
      <c r="J4" s="22" t="n">
        <v>2019</v>
      </c>
      <c r="K4" s="22" t="n">
        <v>2020</v>
      </c>
    </row>
    <row r="6">
      <c r="B6" s="23" t="inlineStr">
        <is>
          <t>Weighted average cost of capital</t>
        </is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B7" s="24" t="inlineStr">
        <is>
          <t>Share price</t>
        </is>
      </c>
      <c r="D7" s="62">
        <f>'Inputs'!$D$7</f>
        <v/>
      </c>
    </row>
    <row r="8">
      <c r="B8" s="24" t="inlineStr">
        <is>
          <t>Diluted shares (m)</t>
        </is>
      </c>
      <c r="D8" s="53">
        <f>'Inputs'!$D$23</f>
        <v/>
      </c>
    </row>
    <row r="9">
      <c r="B9" s="24" t="inlineStr">
        <is>
          <t>Market value of equity</t>
        </is>
      </c>
      <c r="D9" s="50">
        <f>$D$7*$D$8</f>
        <v/>
      </c>
    </row>
    <row r="10">
      <c r="B10" s="24" t="inlineStr">
        <is>
          <t>Total debt (book)</t>
        </is>
      </c>
      <c r="D10" s="45">
        <f>'BS'!F44</f>
        <v/>
      </c>
    </row>
    <row r="11">
      <c r="B11" s="41" t="inlineStr">
        <is>
          <t>Total capitalization</t>
        </is>
      </c>
      <c r="D11" s="46">
        <f>$D$9+$D$10</f>
        <v/>
      </c>
    </row>
    <row r="12">
      <c r="B12" s="24" t="inlineStr">
        <is>
          <t>Equity / total capitalization</t>
        </is>
      </c>
      <c r="D12" s="31">
        <f>$D$9/$D$11</f>
        <v/>
      </c>
    </row>
    <row r="13">
      <c r="B13" s="24" t="inlineStr">
        <is>
          <t>Debt / total capitalization</t>
        </is>
      </c>
      <c r="D13" s="31">
        <f>$D$10/$D$11</f>
        <v/>
      </c>
    </row>
    <row r="14">
      <c r="B14" s="24" t="inlineStr">
        <is>
          <t>Risk-free rate</t>
        </is>
      </c>
      <c r="D14" s="40">
        <f>'Inputs'!$D$8</f>
        <v/>
      </c>
    </row>
    <row r="15">
      <c r="B15" s="24" t="inlineStr">
        <is>
          <t>Levered beta</t>
        </is>
      </c>
      <c r="D15" s="63">
        <f>'Inputs'!$D$10</f>
        <v/>
      </c>
    </row>
    <row r="16">
      <c r="B16" s="24" t="inlineStr">
        <is>
          <t>Equity risk premium</t>
        </is>
      </c>
      <c r="D16" s="40">
        <f>'Inputs'!$D$9</f>
        <v/>
      </c>
    </row>
    <row r="17">
      <c r="B17" s="41" t="inlineStr">
        <is>
          <t>Cost of equity (CAPM)</t>
        </is>
      </c>
      <c r="D17" s="64">
        <f>$D$14+$D$15*$D$16</f>
        <v/>
      </c>
    </row>
    <row r="18">
      <c r="B18" s="24" t="inlineStr">
        <is>
          <t>Pre-tax cost of debt</t>
        </is>
      </c>
      <c r="D18" s="40">
        <f>'Inputs'!$G$45</f>
        <v/>
      </c>
    </row>
    <row r="19">
      <c r="B19" s="24" t="inlineStr">
        <is>
          <t>Marginal tax rate</t>
        </is>
      </c>
      <c r="D19" s="36">
        <f>'Inputs'!$D$11</f>
        <v/>
      </c>
    </row>
    <row r="20">
      <c r="B20" s="24" t="inlineStr">
        <is>
          <t>After-tax cost of debt</t>
        </is>
      </c>
      <c r="D20" s="39">
        <f>$D$18*(1-$D$19)</f>
        <v/>
      </c>
    </row>
    <row r="21">
      <c r="B21" s="41" t="inlineStr">
        <is>
          <t>WACC</t>
        </is>
      </c>
      <c r="D21" s="61">
        <f>$D$12*$D$17+$D$13*$D$20</f>
        <v/>
      </c>
    </row>
    <row r="23">
      <c r="B23" s="23" t="inlineStr">
        <is>
          <t>Unlevered free cash flow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</row>
    <row r="24">
      <c r="B24" s="24" t="inlineStr">
        <is>
          <t>EBIT</t>
        </is>
      </c>
      <c r="G24" s="45">
        <f>'IS'!G14</f>
        <v/>
      </c>
      <c r="H24" s="45">
        <f>'IS'!H14</f>
        <v/>
      </c>
      <c r="I24" s="45">
        <f>'IS'!I14</f>
        <v/>
      </c>
      <c r="J24" s="45">
        <f>'IS'!J14</f>
        <v/>
      </c>
      <c r="K24" s="45">
        <f>'IS'!K14</f>
        <v/>
      </c>
    </row>
    <row r="25">
      <c r="B25" s="24" t="inlineStr">
        <is>
          <t>Tax rate</t>
        </is>
      </c>
      <c r="G25" s="36">
        <f>'Inputs'!G36</f>
        <v/>
      </c>
      <c r="H25" s="36">
        <f>'Inputs'!H36</f>
        <v/>
      </c>
      <c r="I25" s="36">
        <f>'Inputs'!I36</f>
        <v/>
      </c>
      <c r="J25" s="36">
        <f>'Inputs'!J36</f>
        <v/>
      </c>
      <c r="K25" s="36">
        <f>'Inputs'!K36</f>
        <v/>
      </c>
    </row>
    <row r="26">
      <c r="B26" s="24" t="inlineStr">
        <is>
          <t>NOPAT = EBIT x (1 - t)</t>
        </is>
      </c>
      <c r="G26" s="50">
        <f>G24*(1-G25)</f>
        <v/>
      </c>
      <c r="H26" s="50">
        <f>H24*(1-H25)</f>
        <v/>
      </c>
      <c r="I26" s="50">
        <f>I24*(1-I25)</f>
        <v/>
      </c>
      <c r="J26" s="50">
        <f>J24*(1-J25)</f>
        <v/>
      </c>
      <c r="K26" s="50">
        <f>K24*(1-K25)</f>
        <v/>
      </c>
    </row>
    <row r="27">
      <c r="B27" s="24" t="inlineStr">
        <is>
          <t>Plus: D&amp;A</t>
        </is>
      </c>
      <c r="G27" s="45">
        <f>'IS'!G16</f>
        <v/>
      </c>
      <c r="H27" s="45">
        <f>'IS'!H16</f>
        <v/>
      </c>
      <c r="I27" s="45">
        <f>'IS'!I16</f>
        <v/>
      </c>
      <c r="J27" s="45">
        <f>'IS'!J16</f>
        <v/>
      </c>
      <c r="K27" s="45">
        <f>'IS'!K16</f>
        <v/>
      </c>
    </row>
    <row r="28">
      <c r="B28" s="24" t="inlineStr">
        <is>
          <t>Less: capital expenditures</t>
        </is>
      </c>
      <c r="G28" s="45">
        <f>-'CFS'!G28</f>
        <v/>
      </c>
      <c r="H28" s="45">
        <f>-'CFS'!H28</f>
        <v/>
      </c>
      <c r="I28" s="45">
        <f>-'CFS'!I28</f>
        <v/>
      </c>
      <c r="J28" s="45">
        <f>-'CFS'!J28</f>
        <v/>
      </c>
      <c r="K28" s="45">
        <f>-'CFS'!K28</f>
        <v/>
      </c>
    </row>
    <row r="29">
      <c r="B29" s="24" t="inlineStr">
        <is>
          <t>Less: increase in net working capital</t>
        </is>
      </c>
      <c r="G29" s="45">
        <f>'BS'!G43-'BS'!F43</f>
        <v/>
      </c>
      <c r="H29" s="45">
        <f>'BS'!H43-'BS'!G43</f>
        <v/>
      </c>
      <c r="I29" s="45">
        <f>'BS'!I43-'BS'!H43</f>
        <v/>
      </c>
      <c r="J29" s="45">
        <f>'BS'!J43-'BS'!I43</f>
        <v/>
      </c>
      <c r="K29" s="45">
        <f>'BS'!K43-'BS'!J43</f>
        <v/>
      </c>
    </row>
    <row r="30">
      <c r="B30" s="41" t="inlineStr">
        <is>
          <t>Unlevered free cash flow</t>
        </is>
      </c>
      <c r="G30" s="51">
        <f>G26+G27-G28-G29</f>
        <v/>
      </c>
      <c r="H30" s="51">
        <f>H26+H27-H28-H29</f>
        <v/>
      </c>
      <c r="I30" s="51">
        <f>I26+I27-I28-I29</f>
        <v/>
      </c>
      <c r="J30" s="51">
        <f>J26+J27-J28-J29</f>
        <v/>
      </c>
      <c r="K30" s="51">
        <f>K26+K27-K28-K29</f>
        <v/>
      </c>
    </row>
    <row r="31">
      <c r="B31" s="24" t="inlineStr">
        <is>
          <t>Year</t>
        </is>
      </c>
      <c r="G31" s="65">
        <f>G$4-$F$4</f>
        <v/>
      </c>
      <c r="H31" s="65">
        <f>H$4-$F$4</f>
        <v/>
      </c>
      <c r="I31" s="65">
        <f>I$4-$F$4</f>
        <v/>
      </c>
      <c r="J31" s="65">
        <f>J$4-$F$4</f>
        <v/>
      </c>
      <c r="K31" s="65">
        <f>K$4-$F$4</f>
        <v/>
      </c>
    </row>
    <row r="32">
      <c r="B32" s="24" t="inlineStr">
        <is>
          <t>Discount period</t>
        </is>
      </c>
      <c r="G32" s="37">
        <f>IF('Inputs'!$D$14=1,G31-0.5,G31)</f>
        <v/>
      </c>
      <c r="H32" s="37">
        <f>IF('Inputs'!$D$14=1,H31-0.5,H31)</f>
        <v/>
      </c>
      <c r="I32" s="37">
        <f>IF('Inputs'!$D$14=1,I31-0.5,I31)</f>
        <v/>
      </c>
      <c r="J32" s="37">
        <f>IF('Inputs'!$D$14=1,J31-0.5,J31)</f>
        <v/>
      </c>
      <c r="K32" s="37">
        <f>IF('Inputs'!$D$14=1,K31-0.5,K31)</f>
        <v/>
      </c>
    </row>
    <row r="33">
      <c r="B33" s="24" t="inlineStr">
        <is>
          <t>Discount factor</t>
        </is>
      </c>
      <c r="G33" s="66">
        <f>1/(1+$D$21)^G32</f>
        <v/>
      </c>
      <c r="H33" s="66">
        <f>1/(1+$D$21)^H32</f>
        <v/>
      </c>
      <c r="I33" s="66">
        <f>1/(1+$D$21)^I32</f>
        <v/>
      </c>
      <c r="J33" s="66">
        <f>1/(1+$D$21)^J32</f>
        <v/>
      </c>
      <c r="K33" s="66">
        <f>1/(1+$D$21)^K32</f>
        <v/>
      </c>
    </row>
    <row r="34">
      <c r="B34" s="41" t="inlineStr">
        <is>
          <t>PV of unlevered FCF</t>
        </is>
      </c>
      <c r="G34" s="46">
        <f>G30*G33</f>
        <v/>
      </c>
      <c r="H34" s="46">
        <f>H30*H33</f>
        <v/>
      </c>
      <c r="I34" s="46">
        <f>I30*I33</f>
        <v/>
      </c>
      <c r="J34" s="46">
        <f>J30*J33</f>
        <v/>
      </c>
      <c r="K34" s="46">
        <f>K30*K33</f>
        <v/>
      </c>
    </row>
    <row r="36">
      <c r="B36" s="23" t="inlineStr">
        <is>
          <t>Terminal value &amp; valuation</t>
        </is>
      </c>
      <c r="C36" s="23" t="n"/>
      <c r="D36" s="57" t="inlineStr">
        <is>
          <t>Gordon Growth</t>
        </is>
      </c>
      <c r="E36" s="57" t="inlineStr">
        <is>
          <t>Exit Multiple</t>
        </is>
      </c>
      <c r="F36" s="23" t="n"/>
      <c r="G36" s="23" t="n"/>
      <c r="H36" s="23" t="n"/>
      <c r="I36" s="23" t="n"/>
      <c r="J36" s="23" t="n"/>
      <c r="K36" s="23" t="n"/>
    </row>
    <row r="37">
      <c r="B37" s="24" t="inlineStr">
        <is>
          <t>Sum of PV of free cash flows</t>
        </is>
      </c>
      <c r="D37" s="50">
        <f>SUM(G34:K34)</f>
        <v/>
      </c>
      <c r="E37" s="50">
        <f>SUM(G34:K34)</f>
        <v/>
      </c>
    </row>
    <row r="38">
      <c r="B38" s="24" t="inlineStr">
        <is>
          <t>Terminal growth rate / exit multiple</t>
        </is>
      </c>
      <c r="D38" s="36">
        <f>'Inputs'!$D$12</f>
        <v/>
      </c>
      <c r="E38" s="67">
        <f>'Inputs'!$D$13</f>
        <v/>
      </c>
    </row>
    <row r="39">
      <c r="B39" s="24" t="inlineStr">
        <is>
          <t>Final-year FCF / EBITDA (FY2020)</t>
        </is>
      </c>
      <c r="D39" s="50">
        <f>K30</f>
        <v/>
      </c>
      <c r="E39" s="45">
        <f>'IS'!K17</f>
        <v/>
      </c>
    </row>
    <row r="40">
      <c r="B40" s="24" t="inlineStr">
        <is>
          <t>Terminal value</t>
        </is>
      </c>
      <c r="D40" s="50">
        <f>D39*(1+D38)/($D$21-D38)</f>
        <v/>
      </c>
      <c r="E40" s="50">
        <f>E39*E38</f>
        <v/>
      </c>
    </row>
    <row r="41">
      <c r="B41" s="24" t="inlineStr">
        <is>
          <t>Terminal discount factor (end of final year)</t>
        </is>
      </c>
      <c r="D41" s="66">
        <f>1/(1+$D$21)^K31</f>
        <v/>
      </c>
      <c r="E41" s="66">
        <f>1/(1+$D$21)^K31</f>
        <v/>
      </c>
    </row>
    <row r="42">
      <c r="B42" s="24" t="inlineStr">
        <is>
          <t>PV of terminal value</t>
        </is>
      </c>
      <c r="D42" s="50">
        <f>D40*D41</f>
        <v/>
      </c>
      <c r="E42" s="50">
        <f>E40*E41</f>
        <v/>
      </c>
    </row>
    <row r="43">
      <c r="B43" s="41" t="inlineStr">
        <is>
          <t>Enterprise value</t>
        </is>
      </c>
      <c r="D43" s="46">
        <f>D37+D42</f>
        <v/>
      </c>
      <c r="E43" s="46">
        <f>E37+E42</f>
        <v/>
      </c>
    </row>
    <row r="44">
      <c r="B44" s="24" t="inlineStr">
        <is>
          <t>Plus: cash &amp; marketable securities</t>
        </is>
      </c>
      <c r="D44" s="45">
        <f>'BS'!F45</f>
        <v/>
      </c>
      <c r="E44" s="45">
        <f>'BS'!F45</f>
        <v/>
      </c>
    </row>
    <row r="45">
      <c r="B45" s="24" t="inlineStr">
        <is>
          <t>Less: total debt</t>
        </is>
      </c>
      <c r="D45" s="50">
        <f>-$D$10</f>
        <v/>
      </c>
      <c r="E45" s="50">
        <f>-$D$10</f>
        <v/>
      </c>
    </row>
    <row r="46">
      <c r="B46" s="24" t="inlineStr">
        <is>
          <t>Less: repatriation tax on offshore cash</t>
        </is>
      </c>
      <c r="D46" s="45">
        <f>-IF('Inputs'!$D$15=1,'Inputs'!$D$24*'Inputs'!$D$16,0)</f>
        <v/>
      </c>
      <c r="E46" s="45">
        <f>-IF('Inputs'!$D$15=1,'Inputs'!$D$24*'Inputs'!$D$16,0)</f>
        <v/>
      </c>
    </row>
    <row r="47">
      <c r="B47" s="41" t="inlineStr">
        <is>
          <t>Implied equity value</t>
        </is>
      </c>
      <c r="D47" s="46">
        <f>SUM(D43:D46)</f>
        <v/>
      </c>
      <c r="E47" s="46">
        <f>SUM(E43:E46)</f>
        <v/>
      </c>
    </row>
    <row r="48">
      <c r="B48" s="24" t="inlineStr">
        <is>
          <t>Diluted shares (m)</t>
        </is>
      </c>
      <c r="D48" s="34">
        <f>$D$8</f>
        <v/>
      </c>
      <c r="E48" s="34">
        <f>$D$8</f>
        <v/>
      </c>
    </row>
    <row r="49">
      <c r="B49" s="41" t="inlineStr">
        <is>
          <t>Implied share price</t>
        </is>
      </c>
      <c r="D49" s="68">
        <f>D47/D48</f>
        <v/>
      </c>
      <c r="E49" s="68">
        <f>E47/E48</f>
        <v/>
      </c>
    </row>
    <row r="50">
      <c r="B50" s="24" t="inlineStr">
        <is>
          <t>Premium / (discount) to current price</t>
        </is>
      </c>
      <c r="D50" s="31">
        <f>D49/$D$7-1</f>
        <v/>
      </c>
      <c r="E50" s="31">
        <f>E49/$D$7-1</f>
        <v/>
      </c>
    </row>
    <row r="51">
      <c r="B51" s="24" t="inlineStr">
        <is>
          <t>PV of terminal value, % of EV</t>
        </is>
      </c>
      <c r="D51" s="31">
        <f>D42/D43</f>
        <v/>
      </c>
      <c r="E51" s="31">
        <f>E42/E43</f>
        <v/>
      </c>
    </row>
    <row r="52">
      <c r="B52" s="24" t="inlineStr">
        <is>
          <t>Implied exit multiple / implied perpetual growth</t>
        </is>
      </c>
      <c r="D52" s="69">
        <f>D40/E39</f>
        <v/>
      </c>
      <c r="E52" s="31">
        <f>(E40*$D$21-D39)/(E40+D39)</f>
        <v/>
      </c>
    </row>
  </sheetData>
  <mergeCells count="2">
    <mergeCell ref="G3:K3"/>
    <mergeCell ref="F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01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4" t="inlineStr">
        <is>
          <t>Apple Inc.: Leveraged Buyout Analysis</t>
        </is>
      </c>
    </row>
    <row r="2">
      <c r="B2" s="15" t="inlineStr">
        <is>
          <t>USD in millions, except per-share data. Blue = input / reported, black = formula, green = link to another sheet.</t>
        </is>
      </c>
    </row>
    <row r="3">
      <c r="F3" s="16" t="inlineStr">
        <is>
          <t>Close</t>
        </is>
      </c>
      <c r="G3" s="18" t="inlineStr">
        <is>
          <t>Holding period</t>
        </is>
      </c>
      <c r="H3" s="19" t="n"/>
      <c r="I3" s="19" t="n"/>
      <c r="J3" s="19" t="n"/>
      <c r="K3" s="19" t="n"/>
    </row>
    <row r="4">
      <c r="B4" s="20" t="inlineStr">
        <is>
          <t>Fiscal year ending September</t>
        </is>
      </c>
      <c r="C4" s="17" t="n"/>
      <c r="D4" s="17" t="n"/>
      <c r="E4" s="17" t="n"/>
      <c r="F4" s="21" t="n">
        <v>2015</v>
      </c>
      <c r="G4" s="22" t="n">
        <v>2016</v>
      </c>
      <c r="H4" s="22" t="n">
        <v>2017</v>
      </c>
      <c r="I4" s="22" t="n">
        <v>2018</v>
      </c>
      <c r="J4" s="22" t="n">
        <v>2019</v>
      </c>
      <c r="K4" s="22" t="n">
        <v>2020</v>
      </c>
    </row>
    <row r="6">
      <c r="B6" s="23" t="inlineStr">
        <is>
          <t>Entry valuation</t>
        </is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B7" s="24" t="inlineStr">
        <is>
          <t>LTM EBITDA (FY2015)</t>
        </is>
      </c>
      <c r="D7" s="45">
        <f>'IS'!F17</f>
        <v/>
      </c>
    </row>
    <row r="8">
      <c r="B8" s="24" t="inlineStr">
        <is>
          <t>Entry EV / EBITDA</t>
        </is>
      </c>
      <c r="D8" s="67">
        <f>'Inputs'!$D$50</f>
        <v/>
      </c>
    </row>
    <row r="9">
      <c r="B9" s="41" t="inlineStr">
        <is>
          <t>Entry enterprise value</t>
        </is>
      </c>
      <c r="D9" s="46">
        <f>$D$7*$D$8</f>
        <v/>
      </c>
    </row>
    <row r="10">
      <c r="B10" s="24" t="inlineStr">
        <is>
          <t>Less: existing debt</t>
        </is>
      </c>
      <c r="D10" s="45">
        <f>'BS'!F44</f>
        <v/>
      </c>
    </row>
    <row r="11">
      <c r="B11" s="24" t="inlineStr">
        <is>
          <t>Plus: cash &amp; marketable securities</t>
        </is>
      </c>
      <c r="D11" s="45">
        <f>'BS'!F45</f>
        <v/>
      </c>
    </row>
    <row r="12">
      <c r="B12" s="41" t="inlineStr">
        <is>
          <t>Equity purchase price</t>
        </is>
      </c>
      <c r="D12" s="46">
        <f>$D$9-$D$10+$D$11</f>
        <v/>
      </c>
    </row>
    <row r="13">
      <c r="B13" s="24" t="inlineStr">
        <is>
          <t>Diluted shares (m)</t>
        </is>
      </c>
      <c r="D13" s="53">
        <f>'Inputs'!$D$23</f>
        <v/>
      </c>
    </row>
    <row r="14">
      <c r="B14" s="24" t="inlineStr">
        <is>
          <t>Implied offer price per share</t>
        </is>
      </c>
      <c r="D14" s="54">
        <f>$D$12/$D$13</f>
        <v/>
      </c>
    </row>
    <row r="15">
      <c r="B15" s="24" t="inlineStr">
        <is>
          <t>Premium to current share price</t>
        </is>
      </c>
      <c r="D15" s="36">
        <f>$D$14/'Inputs'!$D$7-1</f>
        <v/>
      </c>
    </row>
    <row r="17">
      <c r="B17" s="23" t="inlineStr">
        <is>
          <t>Cash available at close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</row>
    <row r="18">
      <c r="B18" s="24" t="inlineStr">
        <is>
          <t>Offshore cash &amp; securities</t>
        </is>
      </c>
      <c r="D18" s="45">
        <f>'Inputs'!$D$24</f>
        <v/>
      </c>
    </row>
    <row r="19">
      <c r="B19" s="24" t="inlineStr">
        <is>
          <t>Domestic cash &amp; securities</t>
        </is>
      </c>
      <c r="D19" s="50">
        <f>$D$11-$D$18</f>
        <v/>
      </c>
    </row>
    <row r="20">
      <c r="B20" s="24" t="inlineStr">
        <is>
          <t>Minimum operating cash</t>
        </is>
      </c>
      <c r="D20" s="45">
        <f>'Inputs'!$D$55</f>
        <v/>
      </c>
    </row>
    <row r="21">
      <c r="B21" s="24" t="inlineStr">
        <is>
          <t>Domestic cash used to fund the deal</t>
        </is>
      </c>
      <c r="D21" s="50">
        <f>MAX($D$19-$D$20,0)</f>
        <v/>
      </c>
    </row>
    <row r="22">
      <c r="B22" s="24" t="inlineStr">
        <is>
          <t>Cash retained on balance sheet</t>
        </is>
      </c>
      <c r="D22" s="50">
        <f>$D$19-$D$21</f>
        <v/>
      </c>
    </row>
    <row r="23">
      <c r="B23" s="24" t="inlineStr">
        <is>
          <t>Offshore cash repatriated</t>
        </is>
      </c>
      <c r="D23" s="45">
        <f>$D$18*'Inputs'!$D$58</f>
        <v/>
      </c>
    </row>
    <row r="24">
      <c r="B24" s="24" t="inlineStr">
        <is>
          <t>Repatriation tax paid</t>
        </is>
      </c>
      <c r="D24" s="45">
        <f>$D$23*'Inputs'!$D$16</f>
        <v/>
      </c>
    </row>
    <row r="25">
      <c r="B25" s="24" t="inlineStr">
        <is>
          <t>Offshore cash remaining trapped</t>
        </is>
      </c>
      <c r="D25" s="50">
        <f>$D$18-$D$23</f>
        <v/>
      </c>
    </row>
    <row r="27">
      <c r="B27" s="23" t="inlineStr">
        <is>
          <t>Uses of funds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</row>
    <row r="28">
      <c r="B28" s="24" t="inlineStr">
        <is>
          <t>Purchase of equity</t>
        </is>
      </c>
      <c r="D28" s="50">
        <f>$D$12</f>
        <v/>
      </c>
    </row>
    <row r="29">
      <c r="B29" s="24" t="inlineStr">
        <is>
          <t>Refinance existing debt</t>
        </is>
      </c>
      <c r="D29" s="50">
        <f>$D$10</f>
        <v/>
      </c>
    </row>
    <row r="30">
      <c r="B30" s="24" t="inlineStr">
        <is>
          <t>Advisory &amp; transaction fees</t>
        </is>
      </c>
      <c r="D30" s="45">
        <f>$D$9*'Inputs'!$D$56</f>
        <v/>
      </c>
    </row>
    <row r="31">
      <c r="B31" s="24" t="inlineStr">
        <is>
          <t>Financing fees</t>
        </is>
      </c>
      <c r="D31" s="45">
        <f>$D$35*'Inputs'!$D$57</f>
        <v/>
      </c>
    </row>
    <row r="32">
      <c r="B32" s="41" t="inlineStr">
        <is>
          <t>Total uses</t>
        </is>
      </c>
      <c r="D32" s="51">
        <f>SUM(D28:D31)</f>
        <v/>
      </c>
    </row>
    <row r="34">
      <c r="B34" s="23" t="inlineStr">
        <is>
          <t>Sources of funds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</row>
    <row r="35">
      <c r="B35" s="24" t="inlineStr">
        <is>
          <t>Total new debt</t>
        </is>
      </c>
      <c r="D35" s="45">
        <f>$D$9*'Inputs'!$D$53</f>
        <v/>
      </c>
    </row>
    <row r="36">
      <c r="B36" s="24" t="inlineStr">
        <is>
          <t xml:space="preserve">  Senior Term Loan B</t>
        </is>
      </c>
      <c r="D36" s="45">
        <f>$D$35*'Inputs'!$D$63</f>
        <v/>
      </c>
    </row>
    <row r="37">
      <c r="B37" s="24" t="inlineStr">
        <is>
          <t xml:space="preserve">  Senior Subordinated Notes</t>
        </is>
      </c>
      <c r="D37" s="45">
        <f>$D$35*'Inputs'!$D$69</f>
        <v/>
      </c>
    </row>
    <row r="38">
      <c r="B38" s="24" t="inlineStr">
        <is>
          <t>Existing cash &amp; securities used</t>
        </is>
      </c>
      <c r="D38" s="50">
        <f>$D$21+$D$23-$D$24</f>
        <v/>
      </c>
    </row>
    <row r="39">
      <c r="B39" s="41" t="inlineStr">
        <is>
          <t>Sponsor equity</t>
        </is>
      </c>
      <c r="D39" s="46">
        <f>$D$32-$D$35-$D$38</f>
        <v/>
      </c>
    </row>
    <row r="40">
      <c r="B40" s="41" t="inlineStr">
        <is>
          <t>Total sources</t>
        </is>
      </c>
      <c r="D40" s="51">
        <f>SUM(D36:D39)</f>
        <v/>
      </c>
    </row>
    <row r="41">
      <c r="B41" s="55" t="inlineStr">
        <is>
          <t>Check: sources - uses</t>
        </is>
      </c>
      <c r="D41" s="56">
        <f>$D$40-$D$32</f>
        <v/>
      </c>
    </row>
    <row r="42">
      <c r="B42" s="24" t="inlineStr">
        <is>
          <t>Total debt / LTM EBITDA</t>
        </is>
      </c>
      <c r="D42" s="69">
        <f>$D$35/$D$7</f>
        <v/>
      </c>
    </row>
    <row r="44">
      <c r="B44" s="23" t="inlineStr">
        <is>
          <t>Cash flow available for debt service</t>
        </is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</row>
    <row r="45">
      <c r="B45" s="24" t="inlineStr">
        <is>
          <t>EBITDA</t>
        </is>
      </c>
      <c r="G45" s="45">
        <f>'IS'!G17</f>
        <v/>
      </c>
      <c r="H45" s="45">
        <f>'IS'!H17</f>
        <v/>
      </c>
      <c r="I45" s="45">
        <f>'IS'!I17</f>
        <v/>
      </c>
      <c r="J45" s="45">
        <f>'IS'!J17</f>
        <v/>
      </c>
      <c r="K45" s="45">
        <f>'IS'!K17</f>
        <v/>
      </c>
    </row>
    <row r="46">
      <c r="B46" s="24" t="inlineStr">
        <is>
          <t>Less: D&amp;A</t>
        </is>
      </c>
      <c r="G46" s="45">
        <f>'IS'!G16</f>
        <v/>
      </c>
      <c r="H46" s="45">
        <f>'IS'!H16</f>
        <v/>
      </c>
      <c r="I46" s="45">
        <f>'IS'!I16</f>
        <v/>
      </c>
      <c r="J46" s="45">
        <f>'IS'!J16</f>
        <v/>
      </c>
      <c r="K46" s="45">
        <f>'IS'!K16</f>
        <v/>
      </c>
    </row>
    <row r="47">
      <c r="B47" s="24" t="inlineStr">
        <is>
          <t>EBIT</t>
        </is>
      </c>
      <c r="G47" s="50">
        <f>G45-G46</f>
        <v/>
      </c>
      <c r="H47" s="50">
        <f>H45-H46</f>
        <v/>
      </c>
      <c r="I47" s="50">
        <f>I45-I46</f>
        <v/>
      </c>
      <c r="J47" s="50">
        <f>J45-J46</f>
        <v/>
      </c>
      <c r="K47" s="50">
        <f>K45-K46</f>
        <v/>
      </c>
    </row>
    <row r="48">
      <c r="B48" s="24" t="inlineStr">
        <is>
          <t>Plus: interest income on cash</t>
        </is>
      </c>
      <c r="G48" s="45">
        <f>'Inputs'!G44*G61</f>
        <v/>
      </c>
      <c r="H48" s="45">
        <f>'Inputs'!H44*H61</f>
        <v/>
      </c>
      <c r="I48" s="45">
        <f>'Inputs'!I44*I61</f>
        <v/>
      </c>
      <c r="J48" s="45">
        <f>'Inputs'!J44*J61</f>
        <v/>
      </c>
      <c r="K48" s="45">
        <f>'Inputs'!K44*K61</f>
        <v/>
      </c>
    </row>
    <row r="49">
      <c r="B49" s="24" t="inlineStr">
        <is>
          <t>Less: interest, Senior Term Loan B</t>
        </is>
      </c>
      <c r="G49" s="45">
        <f>'Inputs'!$D$64*G69</f>
        <v/>
      </c>
      <c r="H49" s="45">
        <f>'Inputs'!$D$64*H69</f>
        <v/>
      </c>
      <c r="I49" s="45">
        <f>'Inputs'!$D$64*I69</f>
        <v/>
      </c>
      <c r="J49" s="45">
        <f>'Inputs'!$D$64*J69</f>
        <v/>
      </c>
      <c r="K49" s="45">
        <f>'Inputs'!$D$64*K69</f>
        <v/>
      </c>
    </row>
    <row r="50">
      <c r="B50" s="24" t="inlineStr">
        <is>
          <t>Less: interest, Senior Subordinated Notes</t>
        </is>
      </c>
      <c r="G50" s="45">
        <f>'Inputs'!$D$70*G75</f>
        <v/>
      </c>
      <c r="H50" s="45">
        <f>'Inputs'!$D$70*H75</f>
        <v/>
      </c>
      <c r="I50" s="45">
        <f>'Inputs'!$D$70*I75</f>
        <v/>
      </c>
      <c r="J50" s="45">
        <f>'Inputs'!$D$70*J75</f>
        <v/>
      </c>
      <c r="K50" s="45">
        <f>'Inputs'!$D$70*K75</f>
        <v/>
      </c>
    </row>
    <row r="51">
      <c r="B51" s="41" t="inlineStr">
        <is>
          <t>Total interest expense</t>
        </is>
      </c>
      <c r="G51" s="46">
        <f>G49+G50</f>
        <v/>
      </c>
      <c r="H51" s="46">
        <f>H49+H50</f>
        <v/>
      </c>
      <c r="I51" s="46">
        <f>I49+I50</f>
        <v/>
      </c>
      <c r="J51" s="46">
        <f>J49+J50</f>
        <v/>
      </c>
      <c r="K51" s="46">
        <f>K49+K50</f>
        <v/>
      </c>
    </row>
    <row r="52">
      <c r="B52" s="24" t="inlineStr">
        <is>
          <t>Pre-tax income</t>
        </is>
      </c>
      <c r="G52" s="50">
        <f>G47+G48-G51</f>
        <v/>
      </c>
      <c r="H52" s="50">
        <f>H47+H48-H51</f>
        <v/>
      </c>
      <c r="I52" s="50">
        <f>I47+I48-I51</f>
        <v/>
      </c>
      <c r="J52" s="50">
        <f>J47+J48-J51</f>
        <v/>
      </c>
      <c r="K52" s="50">
        <f>K47+K48-K51</f>
        <v/>
      </c>
    </row>
    <row r="53">
      <c r="B53" s="24" t="inlineStr">
        <is>
          <t>Tax rate</t>
        </is>
      </c>
      <c r="G53" s="36">
        <f>'Inputs'!G36</f>
        <v/>
      </c>
      <c r="H53" s="36">
        <f>'Inputs'!H36</f>
        <v/>
      </c>
      <c r="I53" s="36">
        <f>'Inputs'!I36</f>
        <v/>
      </c>
      <c r="J53" s="36">
        <f>'Inputs'!J36</f>
        <v/>
      </c>
      <c r="K53" s="36">
        <f>'Inputs'!K36</f>
        <v/>
      </c>
    </row>
    <row r="54">
      <c r="B54" s="24" t="inlineStr">
        <is>
          <t>Less: cash taxes (no NOL carry-forward)</t>
        </is>
      </c>
      <c r="G54" s="50">
        <f>MAX(G52,0)*G53</f>
        <v/>
      </c>
      <c r="H54" s="50">
        <f>MAX(H52,0)*H53</f>
        <v/>
      </c>
      <c r="I54" s="50">
        <f>MAX(I52,0)*I53</f>
        <v/>
      </c>
      <c r="J54" s="50">
        <f>MAX(J52,0)*J53</f>
        <v/>
      </c>
      <c r="K54" s="50">
        <f>MAX(K52,0)*K53</f>
        <v/>
      </c>
    </row>
    <row r="55">
      <c r="B55" s="41" t="inlineStr">
        <is>
          <t>Net income</t>
        </is>
      </c>
      <c r="G55" s="46">
        <f>G52-G54</f>
        <v/>
      </c>
      <c r="H55" s="46">
        <f>H52-H54</f>
        <v/>
      </c>
      <c r="I55" s="46">
        <f>I52-I54</f>
        <v/>
      </c>
      <c r="J55" s="46">
        <f>J52-J54</f>
        <v/>
      </c>
      <c r="K55" s="46">
        <f>K52-K54</f>
        <v/>
      </c>
    </row>
    <row r="56">
      <c r="B56" s="24" t="inlineStr">
        <is>
          <t>Less: capital expenditures</t>
        </is>
      </c>
      <c r="G56" s="45">
        <f>-'CFS'!G28</f>
        <v/>
      </c>
      <c r="H56" s="45">
        <f>-'CFS'!H28</f>
        <v/>
      </c>
      <c r="I56" s="45">
        <f>-'CFS'!I28</f>
        <v/>
      </c>
      <c r="J56" s="45">
        <f>-'CFS'!J28</f>
        <v/>
      </c>
      <c r="K56" s="45">
        <f>-'CFS'!K28</f>
        <v/>
      </c>
    </row>
    <row r="57">
      <c r="B57" s="24" t="inlineStr">
        <is>
          <t>Less: increase in net working capital</t>
        </is>
      </c>
      <c r="G57" s="45">
        <f>'DCF'!G29</f>
        <v/>
      </c>
      <c r="H57" s="45">
        <f>'DCF'!H29</f>
        <v/>
      </c>
      <c r="I57" s="45">
        <f>'DCF'!I29</f>
        <v/>
      </c>
      <c r="J57" s="45">
        <f>'DCF'!J29</f>
        <v/>
      </c>
      <c r="K57" s="45">
        <f>'DCF'!K29</f>
        <v/>
      </c>
    </row>
    <row r="58">
      <c r="B58" s="41" t="inlineStr">
        <is>
          <t>Levered free cash flow</t>
        </is>
      </c>
      <c r="G58" s="51">
        <f>G55+G46-G56-G57</f>
        <v/>
      </c>
      <c r="H58" s="51">
        <f>H55+H46-H56-H57</f>
        <v/>
      </c>
      <c r="I58" s="51">
        <f>I55+I46-I56-I57</f>
        <v/>
      </c>
      <c r="J58" s="51">
        <f>J55+J46-J56-J57</f>
        <v/>
      </c>
      <c r="K58" s="51">
        <f>K55+K46-K56-K57</f>
        <v/>
      </c>
    </row>
    <row r="60">
      <c r="B60" s="23" t="inlineStr">
        <is>
          <t>Cash sweep</t>
        </is>
      </c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</row>
    <row r="61">
      <c r="B61" s="24" t="inlineStr">
        <is>
          <t>Cash, beginning of year</t>
        </is>
      </c>
      <c r="G61" s="50">
        <f>$D$22</f>
        <v/>
      </c>
      <c r="H61" s="50">
        <f>G66</f>
        <v/>
      </c>
      <c r="I61" s="50">
        <f>H66</f>
        <v/>
      </c>
      <c r="J61" s="50">
        <f>I66</f>
        <v/>
      </c>
      <c r="K61" s="50">
        <f>J66</f>
        <v/>
      </c>
    </row>
    <row r="62">
      <c r="B62" s="24" t="inlineStr">
        <is>
          <t>Less: mandatory amortization</t>
        </is>
      </c>
      <c r="G62" s="50">
        <f>G70+G76</f>
        <v/>
      </c>
      <c r="H62" s="50">
        <f>H70+H76</f>
        <v/>
      </c>
      <c r="I62" s="50">
        <f>I70+I76</f>
        <v/>
      </c>
      <c r="J62" s="50">
        <f>J70+J76</f>
        <v/>
      </c>
      <c r="K62" s="50">
        <f>K70+K76</f>
        <v/>
      </c>
    </row>
    <row r="63">
      <c r="B63" s="24" t="inlineStr">
        <is>
          <t>Cash available after minimum cash</t>
        </is>
      </c>
      <c r="G63" s="50">
        <f>G61+G58-G62-$D$20</f>
        <v/>
      </c>
      <c r="H63" s="50">
        <f>H61+H58-H62-$D$20</f>
        <v/>
      </c>
      <c r="I63" s="50">
        <f>I61+I58-I62-$D$20</f>
        <v/>
      </c>
      <c r="J63" s="50">
        <f>J61+J58-J62-$D$20</f>
        <v/>
      </c>
      <c r="K63" s="50">
        <f>K61+K58-K62-$D$20</f>
        <v/>
      </c>
    </row>
    <row r="64">
      <c r="B64" s="24" t="inlineStr">
        <is>
          <t>Cash swept to optional prepayment</t>
        </is>
      </c>
      <c r="G64" s="45">
        <f>MAX(G63,0)*'Inputs'!$D$54</f>
        <v/>
      </c>
      <c r="H64" s="45">
        <f>MAX(H63,0)*'Inputs'!$D$54</f>
        <v/>
      </c>
      <c r="I64" s="45">
        <f>MAX(I63,0)*'Inputs'!$D$54</f>
        <v/>
      </c>
      <c r="J64" s="45">
        <f>MAX(J63,0)*'Inputs'!$D$54</f>
        <v/>
      </c>
      <c r="K64" s="45">
        <f>MAX(K63,0)*'Inputs'!$D$54</f>
        <v/>
      </c>
    </row>
    <row r="65">
      <c r="B65" s="24" t="inlineStr">
        <is>
          <t>Optional prepayments</t>
        </is>
      </c>
      <c r="G65" s="50">
        <f>G71+G77</f>
        <v/>
      </c>
      <c r="H65" s="50">
        <f>H71+H77</f>
        <v/>
      </c>
      <c r="I65" s="50">
        <f>I71+I77</f>
        <v/>
      </c>
      <c r="J65" s="50">
        <f>J71+J77</f>
        <v/>
      </c>
      <c r="K65" s="50">
        <f>K71+K77</f>
        <v/>
      </c>
    </row>
    <row r="66">
      <c r="B66" s="41" t="inlineStr">
        <is>
          <t>Cash, end of year</t>
        </is>
      </c>
      <c r="G66" s="51">
        <f>G61+G58-G62-G65</f>
        <v/>
      </c>
      <c r="H66" s="51">
        <f>H61+H58-H62-H65</f>
        <v/>
      </c>
      <c r="I66" s="51">
        <f>I61+I58-I62-I65</f>
        <v/>
      </c>
      <c r="J66" s="51">
        <f>J61+J58-J62-J65</f>
        <v/>
      </c>
      <c r="K66" s="51">
        <f>K61+K58-K62-K65</f>
        <v/>
      </c>
    </row>
    <row r="68">
      <c r="B68" s="23" t="inlineStr">
        <is>
          <t>Senior Term Loan B (5.50%, priority 1)</t>
        </is>
      </c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</row>
    <row r="69">
      <c r="B69" s="24" t="inlineStr">
        <is>
          <t>Beginning balance</t>
        </is>
      </c>
      <c r="G69" s="50">
        <f>$D$36</f>
        <v/>
      </c>
      <c r="H69" s="50">
        <f>G72</f>
        <v/>
      </c>
      <c r="I69" s="50">
        <f>H72</f>
        <v/>
      </c>
      <c r="J69" s="50">
        <f>I72</f>
        <v/>
      </c>
      <c r="K69" s="50">
        <f>J72</f>
        <v/>
      </c>
    </row>
    <row r="70">
      <c r="B70" s="24" t="inlineStr">
        <is>
          <t>Mandatory amortization</t>
        </is>
      </c>
      <c r="G70" s="45">
        <f>MIN(G69,$D$36*'Inputs'!$D$65)</f>
        <v/>
      </c>
      <c r="H70" s="45">
        <f>MIN(H69,$D$36*'Inputs'!$D$65)</f>
        <v/>
      </c>
      <c r="I70" s="45">
        <f>MIN(I69,$D$36*'Inputs'!$D$65)</f>
        <v/>
      </c>
      <c r="J70" s="45">
        <f>MIN(J69,$D$36*'Inputs'!$D$65)</f>
        <v/>
      </c>
      <c r="K70" s="45">
        <f>MIN(K69,$D$36*'Inputs'!$D$65)</f>
        <v/>
      </c>
    </row>
    <row r="71">
      <c r="B71" s="24" t="inlineStr">
        <is>
          <t>Optional prepayment (sweep)</t>
        </is>
      </c>
      <c r="G71" s="45">
        <f>IF('Inputs'!$D$66=1,MIN(G64,G69-G70),0)</f>
        <v/>
      </c>
      <c r="H71" s="45">
        <f>IF('Inputs'!$D$66=1,MIN(H64,H69-H70),0)</f>
        <v/>
      </c>
      <c r="I71" s="45">
        <f>IF('Inputs'!$D$66=1,MIN(I64,I69-I70),0)</f>
        <v/>
      </c>
      <c r="J71" s="45">
        <f>IF('Inputs'!$D$66=1,MIN(J64,J69-J70),0)</f>
        <v/>
      </c>
      <c r="K71" s="45">
        <f>IF('Inputs'!$D$66=1,MIN(K64,K69-K70),0)</f>
        <v/>
      </c>
    </row>
    <row r="72">
      <c r="B72" s="41" t="inlineStr">
        <is>
          <t>Ending balance</t>
        </is>
      </c>
      <c r="G72" s="46">
        <f>G69-G70-G71</f>
        <v/>
      </c>
      <c r="H72" s="46">
        <f>H69-H70-H71</f>
        <v/>
      </c>
      <c r="I72" s="46">
        <f>I69-I70-I71</f>
        <v/>
      </c>
      <c r="J72" s="46">
        <f>J69-J70-J71</f>
        <v/>
      </c>
      <c r="K72" s="46">
        <f>K69-K70-K71</f>
        <v/>
      </c>
    </row>
    <row r="74">
      <c r="B74" s="23" t="inlineStr">
        <is>
          <t>Senior Subordinated Notes (8.00%, priority 2)</t>
        </is>
      </c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</row>
    <row r="75">
      <c r="B75" s="24" t="inlineStr">
        <is>
          <t>Beginning balance</t>
        </is>
      </c>
      <c r="G75" s="50">
        <f>$D$37</f>
        <v/>
      </c>
      <c r="H75" s="50">
        <f>G78</f>
        <v/>
      </c>
      <c r="I75" s="50">
        <f>H78</f>
        <v/>
      </c>
      <c r="J75" s="50">
        <f>I78</f>
        <v/>
      </c>
      <c r="K75" s="50">
        <f>J78</f>
        <v/>
      </c>
    </row>
    <row r="76">
      <c r="B76" s="24" t="inlineStr">
        <is>
          <t>Mandatory amortization</t>
        </is>
      </c>
      <c r="G76" s="45">
        <f>MIN(G75,$D$37*'Inputs'!$D$71)</f>
        <v/>
      </c>
      <c r="H76" s="45">
        <f>MIN(H75,$D$37*'Inputs'!$D$71)</f>
        <v/>
      </c>
      <c r="I76" s="45">
        <f>MIN(I75,$D$37*'Inputs'!$D$71)</f>
        <v/>
      </c>
      <c r="J76" s="45">
        <f>MIN(J75,$D$37*'Inputs'!$D$71)</f>
        <v/>
      </c>
      <c r="K76" s="45">
        <f>MIN(K75,$D$37*'Inputs'!$D$71)</f>
        <v/>
      </c>
    </row>
    <row r="77">
      <c r="B77" s="24" t="inlineStr">
        <is>
          <t>Optional prepayment (sweep)</t>
        </is>
      </c>
      <c r="G77" s="45">
        <f>IF('Inputs'!$D$72=1,MIN(G64-G71,G75-G76),0)</f>
        <v/>
      </c>
      <c r="H77" s="45">
        <f>IF('Inputs'!$D$72=1,MIN(H64-H71,H75-H76),0)</f>
        <v/>
      </c>
      <c r="I77" s="45">
        <f>IF('Inputs'!$D$72=1,MIN(I64-I71,I75-I76),0)</f>
        <v/>
      </c>
      <c r="J77" s="45">
        <f>IF('Inputs'!$D$72=1,MIN(J64-J71,J75-J76),0)</f>
        <v/>
      </c>
      <c r="K77" s="45">
        <f>IF('Inputs'!$D$72=1,MIN(K64-K71,K75-K76),0)</f>
        <v/>
      </c>
    </row>
    <row r="78">
      <c r="B78" s="41" t="inlineStr">
        <is>
          <t>Ending balance</t>
        </is>
      </c>
      <c r="G78" s="46">
        <f>G75-G76-G77</f>
        <v/>
      </c>
      <c r="H78" s="46">
        <f>H75-H76-H77</f>
        <v/>
      </c>
      <c r="I78" s="46">
        <f>I75-I76-I77</f>
        <v/>
      </c>
      <c r="J78" s="46">
        <f>J75-J76-J77</f>
        <v/>
      </c>
      <c r="K78" s="46">
        <f>K75-K76-K77</f>
        <v/>
      </c>
    </row>
    <row r="80">
      <c r="B80" s="23" t="inlineStr">
        <is>
          <t>Credit statistics &amp; covenants</t>
        </is>
      </c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</row>
    <row r="81">
      <c r="B81" s="41" t="inlineStr">
        <is>
          <t>Total debt</t>
        </is>
      </c>
      <c r="G81" s="46">
        <f>G72+G78</f>
        <v/>
      </c>
      <c r="H81" s="46">
        <f>H72+H78</f>
        <v/>
      </c>
      <c r="I81" s="46">
        <f>I72+I78</f>
        <v/>
      </c>
      <c r="J81" s="46">
        <f>J72+J78</f>
        <v/>
      </c>
      <c r="K81" s="46">
        <f>K72+K78</f>
        <v/>
      </c>
    </row>
    <row r="82">
      <c r="B82" s="24" t="inlineStr">
        <is>
          <t>Net debt</t>
        </is>
      </c>
      <c r="G82" s="50">
        <f>G81-G66</f>
        <v/>
      </c>
      <c r="H82" s="50">
        <f>H81-H66</f>
        <v/>
      </c>
      <c r="I82" s="50">
        <f>I81-I66</f>
        <v/>
      </c>
      <c r="J82" s="50">
        <f>J81-J66</f>
        <v/>
      </c>
      <c r="K82" s="50">
        <f>K81-K66</f>
        <v/>
      </c>
    </row>
    <row r="83">
      <c r="B83" s="24" t="inlineStr">
        <is>
          <t>Total debt / EBITDA</t>
        </is>
      </c>
      <c r="G83" s="69">
        <f>G81/G45</f>
        <v/>
      </c>
      <c r="H83" s="69">
        <f>H81/H45</f>
        <v/>
      </c>
      <c r="I83" s="69">
        <f>I81/I45</f>
        <v/>
      </c>
      <c r="J83" s="69">
        <f>J81/J45</f>
        <v/>
      </c>
      <c r="K83" s="69">
        <f>K81/K45</f>
        <v/>
      </c>
    </row>
    <row r="84">
      <c r="B84" s="24" t="inlineStr">
        <is>
          <t>EBITDA / interest expense</t>
        </is>
      </c>
      <c r="G84" s="69">
        <f>IF(G51=0,"n.m.",G45/G51)</f>
        <v/>
      </c>
      <c r="H84" s="69">
        <f>IF(H51=0,"n.m.",H45/H51)</f>
        <v/>
      </c>
      <c r="I84" s="69">
        <f>IF(I51=0,"n.m.",I45/I51)</f>
        <v/>
      </c>
      <c r="J84" s="69">
        <f>IF(J51=0,"n.m.",J45/J51)</f>
        <v/>
      </c>
      <c r="K84" s="69">
        <f>IF(K51=0,"n.m.",K45/K51)</f>
        <v/>
      </c>
    </row>
    <row r="85">
      <c r="B85" s="24" t="inlineStr">
        <is>
          <t>Covenant: max leverage</t>
        </is>
      </c>
      <c r="G85" s="67">
        <f>'Inputs'!$D$59</f>
        <v/>
      </c>
      <c r="H85" s="67">
        <f>'Inputs'!$D$59</f>
        <v/>
      </c>
      <c r="I85" s="67">
        <f>'Inputs'!$D$59</f>
        <v/>
      </c>
      <c r="J85" s="67">
        <f>'Inputs'!$D$59</f>
        <v/>
      </c>
      <c r="K85" s="67">
        <f>'Inputs'!$D$59</f>
        <v/>
      </c>
    </row>
    <row r="86">
      <c r="B86" s="24" t="inlineStr">
        <is>
          <t>EBITDA cushion to leverage covenant</t>
        </is>
      </c>
      <c r="G86" s="31">
        <f>1-(G81/G85)/G45</f>
        <v/>
      </c>
      <c r="H86" s="31">
        <f>1-(H81/H85)/H45</f>
        <v/>
      </c>
      <c r="I86" s="31">
        <f>1-(I81/I85)/I45</f>
        <v/>
      </c>
      <c r="J86" s="31">
        <f>1-(J81/J85)/J45</f>
        <v/>
      </c>
      <c r="K86" s="31">
        <f>1-(K81/K85)/K45</f>
        <v/>
      </c>
    </row>
    <row r="87">
      <c r="B87" s="24" t="inlineStr">
        <is>
          <t>Covenant: min interest coverage</t>
        </is>
      </c>
      <c r="G87" s="67">
        <f>'Inputs'!$D$60</f>
        <v/>
      </c>
      <c r="H87" s="67">
        <f>'Inputs'!$D$60</f>
        <v/>
      </c>
      <c r="I87" s="67">
        <f>'Inputs'!$D$60</f>
        <v/>
      </c>
      <c r="J87" s="67">
        <f>'Inputs'!$D$60</f>
        <v/>
      </c>
      <c r="K87" s="67">
        <f>'Inputs'!$D$60</f>
        <v/>
      </c>
    </row>
    <row r="88">
      <c r="B88" s="24" t="inlineStr">
        <is>
          <t>EBITDA cushion to coverage covenant</t>
        </is>
      </c>
      <c r="G88" s="31">
        <f>1-G87*G51/G45</f>
        <v/>
      </c>
      <c r="H88" s="31">
        <f>1-H87*H51/H45</f>
        <v/>
      </c>
      <c r="I88" s="31">
        <f>1-I87*I51/I45</f>
        <v/>
      </c>
      <c r="J88" s="31">
        <f>1-J87*J51/J45</f>
        <v/>
      </c>
      <c r="K88" s="31">
        <f>1-K87*K51/K45</f>
        <v/>
      </c>
    </row>
    <row r="89">
      <c r="B89" s="24" t="inlineStr">
        <is>
          <t>Covenant compliance</t>
        </is>
      </c>
      <c r="G89" s="70">
        <f>IF(AND(G83&lt;=G85,G88&gt;=0),"Pass","BREACH")</f>
        <v/>
      </c>
      <c r="H89" s="70">
        <f>IF(AND(H83&lt;=H85,H88&gt;=0),"Pass","BREACH")</f>
        <v/>
      </c>
      <c r="I89" s="70">
        <f>IF(AND(I83&lt;=I85,I88&gt;=0),"Pass","BREACH")</f>
        <v/>
      </c>
      <c r="J89" s="70">
        <f>IF(AND(J83&lt;=J85,J88&gt;=0),"Pass","BREACH")</f>
        <v/>
      </c>
      <c r="K89" s="70">
        <f>IF(AND(K83&lt;=K85,K88&gt;=0),"Pass","BREACH")</f>
        <v/>
      </c>
    </row>
    <row r="91">
      <c r="B91" s="23" t="inlineStr">
        <is>
          <t>Exit &amp; sponsor returns</t>
        </is>
      </c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</row>
    <row r="92">
      <c r="B92" s="24" t="inlineStr">
        <is>
          <t>Exit-year EBITDA (FY2020)</t>
        </is>
      </c>
      <c r="D92" s="50">
        <f>K45</f>
        <v/>
      </c>
    </row>
    <row r="93">
      <c r="B93" s="24" t="inlineStr">
        <is>
          <t>Exit EV / EBITDA</t>
        </is>
      </c>
      <c r="D93" s="67">
        <f>'Inputs'!$D$51</f>
        <v/>
      </c>
    </row>
    <row r="94">
      <c r="B94" s="41" t="inlineStr">
        <is>
          <t>Exit enterprise value</t>
        </is>
      </c>
      <c r="D94" s="46">
        <f>$D$92*$D$93</f>
        <v/>
      </c>
    </row>
    <row r="95">
      <c r="B95" s="24" t="inlineStr">
        <is>
          <t>Less: debt outstanding</t>
        </is>
      </c>
      <c r="D95" s="50">
        <f>K81</f>
        <v/>
      </c>
    </row>
    <row r="96">
      <c r="B96" s="24" t="inlineStr">
        <is>
          <t>Plus: cash</t>
        </is>
      </c>
      <c r="D96" s="50">
        <f>K66</f>
        <v/>
      </c>
    </row>
    <row r="97">
      <c r="B97" s="24" t="inlineStr">
        <is>
          <t>Plus: trapped offshore cash, after repatriation tax</t>
        </is>
      </c>
      <c r="D97" s="45">
        <f>$D$25*(1-'Inputs'!$D$16)</f>
        <v/>
      </c>
    </row>
    <row r="98">
      <c r="B98" s="41" t="inlineStr">
        <is>
          <t>Exit equity value</t>
        </is>
      </c>
      <c r="D98" s="51">
        <f>$D$94-$D$95+$D$96+$D$97</f>
        <v/>
      </c>
    </row>
    <row r="99">
      <c r="B99" s="41" t="inlineStr">
        <is>
          <t>Sponsor cash flows</t>
        </is>
      </c>
      <c r="F99" s="46">
        <f>-$D$39</f>
        <v/>
      </c>
      <c r="G99" s="46">
        <f>IF(G$4=K$4,$D$98,0)</f>
        <v/>
      </c>
      <c r="H99" s="46">
        <f>IF(H$4=K$4,$D$98,0)</f>
        <v/>
      </c>
      <c r="I99" s="46">
        <f>IF(I$4=K$4,$D$98,0)</f>
        <v/>
      </c>
      <c r="J99" s="46">
        <f>IF(J$4=K$4,$D$98,0)</f>
        <v/>
      </c>
      <c r="K99" s="46">
        <f>IF(K$4=K$4,$D$98,0)</f>
        <v/>
      </c>
    </row>
    <row r="100">
      <c r="B100" s="41" t="inlineStr">
        <is>
          <t>MOIC</t>
        </is>
      </c>
      <c r="D100" s="71">
        <f>$D$98/$D$39</f>
        <v/>
      </c>
    </row>
    <row r="101">
      <c r="B101" s="41" t="inlineStr">
        <is>
          <t>IRR</t>
        </is>
      </c>
      <c r="D101" s="72">
        <f>IRR(F99:K99)</f>
        <v/>
      </c>
    </row>
  </sheetData>
  <mergeCells count="2">
    <mergeCell ref="G3:K3"/>
    <mergeCell ref="F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4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4" t="inlineStr">
        <is>
          <t>Apple Inc.: Sensitivity Analysis</t>
        </is>
      </c>
    </row>
    <row r="2">
      <c r="B2" s="15" t="inlineStr">
        <is>
          <t>Heat maps: green = higher value. Base case outlined in bold.</t>
        </is>
      </c>
    </row>
    <row r="4">
      <c r="B4" s="23" t="inlineStr">
        <is>
          <t>Grid steps (inputs)</t>
        </is>
      </c>
      <c r="C4" s="23" t="n"/>
      <c r="D4" s="23" t="n"/>
      <c r="E4" s="23" t="n"/>
      <c r="F4" s="23" t="n"/>
      <c r="G4" s="23" t="n"/>
      <c r="H4" s="23" t="n"/>
    </row>
    <row r="5">
      <c r="B5" t="inlineStr">
        <is>
          <t>WACC step</t>
        </is>
      </c>
      <c r="D5" s="26" t="n">
        <v>0.004999999999999991</v>
      </c>
    </row>
    <row r="6">
      <c r="B6" t="inlineStr">
        <is>
          <t>Terminal growth step</t>
        </is>
      </c>
      <c r="D6" s="26" t="n">
        <v>0.004999999999999999</v>
      </c>
    </row>
    <row r="7">
      <c r="B7" t="inlineStr">
        <is>
          <t>Exit multiple step</t>
        </is>
      </c>
      <c r="D7" s="29" t="n">
        <v>1</v>
      </c>
    </row>
    <row r="9">
      <c r="B9" s="23" t="inlineStr">
        <is>
          <t>DCF (Gordon Growth): implied share price</t>
        </is>
      </c>
      <c r="C9" s="23" t="n"/>
      <c r="D9" s="23" t="n"/>
      <c r="E9" s="23" t="n"/>
      <c r="F9" s="23" t="n"/>
      <c r="G9" s="23" t="n"/>
      <c r="H9" s="23" t="n"/>
    </row>
    <row r="10">
      <c r="B10" s="15" t="inlineStr">
        <is>
          <t>Live formulas: each cell reprices the full DCF from the FCF row on the DCF sheet.</t>
        </is>
      </c>
    </row>
    <row r="11">
      <c r="C11" s="73" t="inlineStr">
        <is>
          <t>WACC ↓ / Terminal growth →</t>
        </is>
      </c>
      <c r="D11" s="74">
        <f>'Inputs'!$D$12+(-2)*$D$6</f>
        <v/>
      </c>
      <c r="E11" s="74">
        <f>'Inputs'!$D$12+(-1)*$D$6</f>
        <v/>
      </c>
      <c r="F11" s="74">
        <f>'Inputs'!$D$12+(0)*$D$6</f>
        <v/>
      </c>
      <c r="G11" s="74">
        <f>'Inputs'!$D$12+(1)*$D$6</f>
        <v/>
      </c>
      <c r="H11" s="74">
        <f>'Inputs'!$D$12+(2)*$D$6</f>
        <v/>
      </c>
    </row>
    <row r="12">
      <c r="C12" s="74">
        <f>'DCF'!$D$21+(-2)*$D$5</f>
        <v/>
      </c>
      <c r="D12" s="54">
        <f>(SUMPRODUCT('DCF'!$G$30:$K$30,(1+$C12)^(-'DCF'!$G$32:$K$32))+'DCF'!$K$30*(1+D$11)/($C12-D$11)/(1+$C12)^'DCF'!$K$31+'DCF'!$D$44+'DCF'!$D$45+'DCF'!$D$46)/'DCF'!$D$48</f>
        <v/>
      </c>
      <c r="E12" s="54">
        <f>(SUMPRODUCT('DCF'!$G$30:$K$30,(1+$C12)^(-'DCF'!$G$32:$K$32))+'DCF'!$K$30*(1+E$11)/($C12-E$11)/(1+$C12)^'DCF'!$K$31+'DCF'!$D$44+'DCF'!$D$45+'DCF'!$D$46)/'DCF'!$D$48</f>
        <v/>
      </c>
      <c r="F12" s="54">
        <f>(SUMPRODUCT('DCF'!$G$30:$K$30,(1+$C12)^(-'DCF'!$G$32:$K$32))+'DCF'!$K$30*(1+F$11)/($C12-F$11)/(1+$C12)^'DCF'!$K$31+'DCF'!$D$44+'DCF'!$D$45+'DCF'!$D$46)/'DCF'!$D$48</f>
        <v/>
      </c>
      <c r="G12" s="54">
        <f>(SUMPRODUCT('DCF'!$G$30:$K$30,(1+$C12)^(-'DCF'!$G$32:$K$32))+'DCF'!$K$30*(1+G$11)/($C12-G$11)/(1+$C12)^'DCF'!$K$31+'DCF'!$D$44+'DCF'!$D$45+'DCF'!$D$46)/'DCF'!$D$48</f>
        <v/>
      </c>
      <c r="H12" s="54">
        <f>(SUMPRODUCT('DCF'!$G$30:$K$30,(1+$C12)^(-'DCF'!$G$32:$K$32))+'DCF'!$K$30*(1+H$11)/($C12-H$11)/(1+$C12)^'DCF'!$K$31+'DCF'!$D$44+'DCF'!$D$45+'DCF'!$D$46)/'DCF'!$D$48</f>
        <v/>
      </c>
    </row>
    <row r="13">
      <c r="C13" s="74">
        <f>'DCF'!$D$21+(-1)*$D$5</f>
        <v/>
      </c>
      <c r="D13" s="54">
        <f>(SUMPRODUCT('DCF'!$G$30:$K$30,(1+$C13)^(-'DCF'!$G$32:$K$32))+'DCF'!$K$30*(1+D$11)/($C13-D$11)/(1+$C13)^'DCF'!$K$31+'DCF'!$D$44+'DCF'!$D$45+'DCF'!$D$46)/'DCF'!$D$48</f>
        <v/>
      </c>
      <c r="E13" s="54">
        <f>(SUMPRODUCT('DCF'!$G$30:$K$30,(1+$C13)^(-'DCF'!$G$32:$K$32))+'DCF'!$K$30*(1+E$11)/($C13-E$11)/(1+$C13)^'DCF'!$K$31+'DCF'!$D$44+'DCF'!$D$45+'DCF'!$D$46)/'DCF'!$D$48</f>
        <v/>
      </c>
      <c r="F13" s="54">
        <f>(SUMPRODUCT('DCF'!$G$30:$K$30,(1+$C13)^(-'DCF'!$G$32:$K$32))+'DCF'!$K$30*(1+F$11)/($C13-F$11)/(1+$C13)^'DCF'!$K$31+'DCF'!$D$44+'DCF'!$D$45+'DCF'!$D$46)/'DCF'!$D$48</f>
        <v/>
      </c>
      <c r="G13" s="54">
        <f>(SUMPRODUCT('DCF'!$G$30:$K$30,(1+$C13)^(-'DCF'!$G$32:$K$32))+'DCF'!$K$30*(1+G$11)/($C13-G$11)/(1+$C13)^'DCF'!$K$31+'DCF'!$D$44+'DCF'!$D$45+'DCF'!$D$46)/'DCF'!$D$48</f>
        <v/>
      </c>
      <c r="H13" s="54">
        <f>(SUMPRODUCT('DCF'!$G$30:$K$30,(1+$C13)^(-'DCF'!$G$32:$K$32))+'DCF'!$K$30*(1+H$11)/($C13-H$11)/(1+$C13)^'DCF'!$K$31+'DCF'!$D$44+'DCF'!$D$45+'DCF'!$D$46)/'DCF'!$D$48</f>
        <v/>
      </c>
    </row>
    <row r="14">
      <c r="C14" s="74">
        <f>'DCF'!$D$21+(0)*$D$5</f>
        <v/>
      </c>
      <c r="D14" s="54">
        <f>(SUMPRODUCT('DCF'!$G$30:$K$30,(1+$C14)^(-'DCF'!$G$32:$K$32))+'DCF'!$K$30*(1+D$11)/($C14-D$11)/(1+$C14)^'DCF'!$K$31+'DCF'!$D$44+'DCF'!$D$45+'DCF'!$D$46)/'DCF'!$D$48</f>
        <v/>
      </c>
      <c r="E14" s="54">
        <f>(SUMPRODUCT('DCF'!$G$30:$K$30,(1+$C14)^(-'DCF'!$G$32:$K$32))+'DCF'!$K$30*(1+E$11)/($C14-E$11)/(1+$C14)^'DCF'!$K$31+'DCF'!$D$44+'DCF'!$D$45+'DCF'!$D$46)/'DCF'!$D$48</f>
        <v/>
      </c>
      <c r="F14" s="75">
        <f>(SUMPRODUCT('DCF'!$G$30:$K$30,(1+$C14)^(-'DCF'!$G$32:$K$32))+'DCF'!$K$30*(1+F$11)/($C14-F$11)/(1+$C14)^'DCF'!$K$31+'DCF'!$D$44+'DCF'!$D$45+'DCF'!$D$46)/'DCF'!$D$48</f>
        <v/>
      </c>
      <c r="G14" s="54">
        <f>(SUMPRODUCT('DCF'!$G$30:$K$30,(1+$C14)^(-'DCF'!$G$32:$K$32))+'DCF'!$K$30*(1+G$11)/($C14-G$11)/(1+$C14)^'DCF'!$K$31+'DCF'!$D$44+'DCF'!$D$45+'DCF'!$D$46)/'DCF'!$D$48</f>
        <v/>
      </c>
      <c r="H14" s="54">
        <f>(SUMPRODUCT('DCF'!$G$30:$K$30,(1+$C14)^(-'DCF'!$G$32:$K$32))+'DCF'!$K$30*(1+H$11)/($C14-H$11)/(1+$C14)^'DCF'!$K$31+'DCF'!$D$44+'DCF'!$D$45+'DCF'!$D$46)/'DCF'!$D$48</f>
        <v/>
      </c>
    </row>
    <row r="15">
      <c r="C15" s="74">
        <f>'DCF'!$D$21+(1)*$D$5</f>
        <v/>
      </c>
      <c r="D15" s="54">
        <f>(SUMPRODUCT('DCF'!$G$30:$K$30,(1+$C15)^(-'DCF'!$G$32:$K$32))+'DCF'!$K$30*(1+D$11)/($C15-D$11)/(1+$C15)^'DCF'!$K$31+'DCF'!$D$44+'DCF'!$D$45+'DCF'!$D$46)/'DCF'!$D$48</f>
        <v/>
      </c>
      <c r="E15" s="54">
        <f>(SUMPRODUCT('DCF'!$G$30:$K$30,(1+$C15)^(-'DCF'!$G$32:$K$32))+'DCF'!$K$30*(1+E$11)/($C15-E$11)/(1+$C15)^'DCF'!$K$31+'DCF'!$D$44+'DCF'!$D$45+'DCF'!$D$46)/'DCF'!$D$48</f>
        <v/>
      </c>
      <c r="F15" s="54">
        <f>(SUMPRODUCT('DCF'!$G$30:$K$30,(1+$C15)^(-'DCF'!$G$32:$K$32))+'DCF'!$K$30*(1+F$11)/($C15-F$11)/(1+$C15)^'DCF'!$K$31+'DCF'!$D$44+'DCF'!$D$45+'DCF'!$D$46)/'DCF'!$D$48</f>
        <v/>
      </c>
      <c r="G15" s="54">
        <f>(SUMPRODUCT('DCF'!$G$30:$K$30,(1+$C15)^(-'DCF'!$G$32:$K$32))+'DCF'!$K$30*(1+G$11)/($C15-G$11)/(1+$C15)^'DCF'!$K$31+'DCF'!$D$44+'DCF'!$D$45+'DCF'!$D$46)/'DCF'!$D$48</f>
        <v/>
      </c>
      <c r="H15" s="54">
        <f>(SUMPRODUCT('DCF'!$G$30:$K$30,(1+$C15)^(-'DCF'!$G$32:$K$32))+'DCF'!$K$30*(1+H$11)/($C15-H$11)/(1+$C15)^'DCF'!$K$31+'DCF'!$D$44+'DCF'!$D$45+'DCF'!$D$46)/'DCF'!$D$48</f>
        <v/>
      </c>
    </row>
    <row r="16">
      <c r="C16" s="74">
        <f>'DCF'!$D$21+(2)*$D$5</f>
        <v/>
      </c>
      <c r="D16" s="54">
        <f>(SUMPRODUCT('DCF'!$G$30:$K$30,(1+$C16)^(-'DCF'!$G$32:$K$32))+'DCF'!$K$30*(1+D$11)/($C16-D$11)/(1+$C16)^'DCF'!$K$31+'DCF'!$D$44+'DCF'!$D$45+'DCF'!$D$46)/'DCF'!$D$48</f>
        <v/>
      </c>
      <c r="E16" s="54">
        <f>(SUMPRODUCT('DCF'!$G$30:$K$30,(1+$C16)^(-'DCF'!$G$32:$K$32))+'DCF'!$K$30*(1+E$11)/($C16-E$11)/(1+$C16)^'DCF'!$K$31+'DCF'!$D$44+'DCF'!$D$45+'DCF'!$D$46)/'DCF'!$D$48</f>
        <v/>
      </c>
      <c r="F16" s="54">
        <f>(SUMPRODUCT('DCF'!$G$30:$K$30,(1+$C16)^(-'DCF'!$G$32:$K$32))+'DCF'!$K$30*(1+F$11)/($C16-F$11)/(1+$C16)^'DCF'!$K$31+'DCF'!$D$44+'DCF'!$D$45+'DCF'!$D$46)/'DCF'!$D$48</f>
        <v/>
      </c>
      <c r="G16" s="54">
        <f>(SUMPRODUCT('DCF'!$G$30:$K$30,(1+$C16)^(-'DCF'!$G$32:$K$32))+'DCF'!$K$30*(1+G$11)/($C16-G$11)/(1+$C16)^'DCF'!$K$31+'DCF'!$D$44+'DCF'!$D$45+'DCF'!$D$46)/'DCF'!$D$48</f>
        <v/>
      </c>
      <c r="H16" s="54">
        <f>(SUMPRODUCT('DCF'!$G$30:$K$30,(1+$C16)^(-'DCF'!$G$32:$K$32))+'DCF'!$K$30*(1+H$11)/($C16-H$11)/(1+$C16)^'DCF'!$K$31+'DCF'!$D$44+'DCF'!$D$45+'DCF'!$D$46)/'DCF'!$D$48</f>
        <v/>
      </c>
    </row>
    <row r="18">
      <c r="B18" s="23" t="inlineStr">
        <is>
          <t>DCF (Exit Multiple): implied share price</t>
        </is>
      </c>
      <c r="C18" s="23" t="n"/>
      <c r="D18" s="23" t="n"/>
      <c r="E18" s="23" t="n"/>
      <c r="F18" s="23" t="n"/>
      <c r="G18" s="23" t="n"/>
      <c r="H18" s="23" t="n"/>
    </row>
    <row r="19">
      <c r="B19" s="15" t="inlineStr">
        <is>
          <t>Live formulas: terminal value = final-year EBITDA x exit multiple.</t>
        </is>
      </c>
    </row>
    <row r="20">
      <c r="C20" s="73" t="inlineStr">
        <is>
          <t>Exit EV/EBITDA ↓ / WACC →</t>
        </is>
      </c>
      <c r="D20" s="74">
        <f>'DCF'!$D$21+(-2)*$D$5</f>
        <v/>
      </c>
      <c r="E20" s="74">
        <f>'DCF'!$D$21+(-1)*$D$5</f>
        <v/>
      </c>
      <c r="F20" s="74">
        <f>'DCF'!$D$21+(0)*$D$5</f>
        <v/>
      </c>
      <c r="G20" s="74">
        <f>'DCF'!$D$21+(1)*$D$5</f>
        <v/>
      </c>
      <c r="H20" s="74">
        <f>'DCF'!$D$21+(2)*$D$5</f>
        <v/>
      </c>
    </row>
    <row r="21">
      <c r="C21" s="76">
        <f>'Inputs'!$D$13+(-2)*$D$7</f>
        <v/>
      </c>
      <c r="D21" s="54">
        <f>(SUMPRODUCT('DCF'!$G$30:$K$30,(1+D$20)^(-'DCF'!$G$32:$K$32))+'IS'!$K$17*$C21/(1+D$20)^'DCF'!$K$31+'DCF'!$D$44+'DCF'!$D$45+'DCF'!$D$46)/'DCF'!$D$48</f>
        <v/>
      </c>
      <c r="E21" s="54">
        <f>(SUMPRODUCT('DCF'!$G$30:$K$30,(1+E$20)^(-'DCF'!$G$32:$K$32))+'IS'!$K$17*$C21/(1+E$20)^'DCF'!$K$31+'DCF'!$D$44+'DCF'!$D$45+'DCF'!$D$46)/'DCF'!$D$48</f>
        <v/>
      </c>
      <c r="F21" s="54">
        <f>(SUMPRODUCT('DCF'!$G$30:$K$30,(1+F$20)^(-'DCF'!$G$32:$K$32))+'IS'!$K$17*$C21/(1+F$20)^'DCF'!$K$31+'DCF'!$D$44+'DCF'!$D$45+'DCF'!$D$46)/'DCF'!$D$48</f>
        <v/>
      </c>
      <c r="G21" s="54">
        <f>(SUMPRODUCT('DCF'!$G$30:$K$30,(1+G$20)^(-'DCF'!$G$32:$K$32))+'IS'!$K$17*$C21/(1+G$20)^'DCF'!$K$31+'DCF'!$D$44+'DCF'!$D$45+'DCF'!$D$46)/'DCF'!$D$48</f>
        <v/>
      </c>
      <c r="H21" s="54">
        <f>(SUMPRODUCT('DCF'!$G$30:$K$30,(1+H$20)^(-'DCF'!$G$32:$K$32))+'IS'!$K$17*$C21/(1+H$20)^'DCF'!$K$31+'DCF'!$D$44+'DCF'!$D$45+'DCF'!$D$46)/'DCF'!$D$48</f>
        <v/>
      </c>
    </row>
    <row r="22">
      <c r="C22" s="76">
        <f>'Inputs'!$D$13+(-1)*$D$7</f>
        <v/>
      </c>
      <c r="D22" s="54">
        <f>(SUMPRODUCT('DCF'!$G$30:$K$30,(1+D$20)^(-'DCF'!$G$32:$K$32))+'IS'!$K$17*$C22/(1+D$20)^'DCF'!$K$31+'DCF'!$D$44+'DCF'!$D$45+'DCF'!$D$46)/'DCF'!$D$48</f>
        <v/>
      </c>
      <c r="E22" s="54">
        <f>(SUMPRODUCT('DCF'!$G$30:$K$30,(1+E$20)^(-'DCF'!$G$32:$K$32))+'IS'!$K$17*$C22/(1+E$20)^'DCF'!$K$31+'DCF'!$D$44+'DCF'!$D$45+'DCF'!$D$46)/'DCF'!$D$48</f>
        <v/>
      </c>
      <c r="F22" s="54">
        <f>(SUMPRODUCT('DCF'!$G$30:$K$30,(1+F$20)^(-'DCF'!$G$32:$K$32))+'IS'!$K$17*$C22/(1+F$20)^'DCF'!$K$31+'DCF'!$D$44+'DCF'!$D$45+'DCF'!$D$46)/'DCF'!$D$48</f>
        <v/>
      </c>
      <c r="G22" s="54">
        <f>(SUMPRODUCT('DCF'!$G$30:$K$30,(1+G$20)^(-'DCF'!$G$32:$K$32))+'IS'!$K$17*$C22/(1+G$20)^'DCF'!$K$31+'DCF'!$D$44+'DCF'!$D$45+'DCF'!$D$46)/'DCF'!$D$48</f>
        <v/>
      </c>
      <c r="H22" s="54">
        <f>(SUMPRODUCT('DCF'!$G$30:$K$30,(1+H$20)^(-'DCF'!$G$32:$K$32))+'IS'!$K$17*$C22/(1+H$20)^'DCF'!$K$31+'DCF'!$D$44+'DCF'!$D$45+'DCF'!$D$46)/'DCF'!$D$48</f>
        <v/>
      </c>
    </row>
    <row r="23">
      <c r="C23" s="76">
        <f>'Inputs'!$D$13+(0)*$D$7</f>
        <v/>
      </c>
      <c r="D23" s="54">
        <f>(SUMPRODUCT('DCF'!$G$30:$K$30,(1+D$20)^(-'DCF'!$G$32:$K$32))+'IS'!$K$17*$C23/(1+D$20)^'DCF'!$K$31+'DCF'!$D$44+'DCF'!$D$45+'DCF'!$D$46)/'DCF'!$D$48</f>
        <v/>
      </c>
      <c r="E23" s="54">
        <f>(SUMPRODUCT('DCF'!$G$30:$K$30,(1+E$20)^(-'DCF'!$G$32:$K$32))+'IS'!$K$17*$C23/(1+E$20)^'DCF'!$K$31+'DCF'!$D$44+'DCF'!$D$45+'DCF'!$D$46)/'DCF'!$D$48</f>
        <v/>
      </c>
      <c r="F23" s="75">
        <f>(SUMPRODUCT('DCF'!$G$30:$K$30,(1+F$20)^(-'DCF'!$G$32:$K$32))+'IS'!$K$17*$C23/(1+F$20)^'DCF'!$K$31+'DCF'!$D$44+'DCF'!$D$45+'DCF'!$D$46)/'DCF'!$D$48</f>
        <v/>
      </c>
      <c r="G23" s="54">
        <f>(SUMPRODUCT('DCF'!$G$30:$K$30,(1+G$20)^(-'DCF'!$G$32:$K$32))+'IS'!$K$17*$C23/(1+G$20)^'DCF'!$K$31+'DCF'!$D$44+'DCF'!$D$45+'DCF'!$D$46)/'DCF'!$D$48</f>
        <v/>
      </c>
      <c r="H23" s="54">
        <f>(SUMPRODUCT('DCF'!$G$30:$K$30,(1+H$20)^(-'DCF'!$G$32:$K$32))+'IS'!$K$17*$C23/(1+H$20)^'DCF'!$K$31+'DCF'!$D$44+'DCF'!$D$45+'DCF'!$D$46)/'DCF'!$D$48</f>
        <v/>
      </c>
    </row>
    <row r="24">
      <c r="C24" s="76">
        <f>'Inputs'!$D$13+(1)*$D$7</f>
        <v/>
      </c>
      <c r="D24" s="54">
        <f>(SUMPRODUCT('DCF'!$G$30:$K$30,(1+D$20)^(-'DCF'!$G$32:$K$32))+'IS'!$K$17*$C24/(1+D$20)^'DCF'!$K$31+'DCF'!$D$44+'DCF'!$D$45+'DCF'!$D$46)/'DCF'!$D$48</f>
        <v/>
      </c>
      <c r="E24" s="54">
        <f>(SUMPRODUCT('DCF'!$G$30:$K$30,(1+E$20)^(-'DCF'!$G$32:$K$32))+'IS'!$K$17*$C24/(1+E$20)^'DCF'!$K$31+'DCF'!$D$44+'DCF'!$D$45+'DCF'!$D$46)/'DCF'!$D$48</f>
        <v/>
      </c>
      <c r="F24" s="54">
        <f>(SUMPRODUCT('DCF'!$G$30:$K$30,(1+F$20)^(-'DCF'!$G$32:$K$32))+'IS'!$K$17*$C24/(1+F$20)^'DCF'!$K$31+'DCF'!$D$44+'DCF'!$D$45+'DCF'!$D$46)/'DCF'!$D$48</f>
        <v/>
      </c>
      <c r="G24" s="54">
        <f>(SUMPRODUCT('DCF'!$G$30:$K$30,(1+G$20)^(-'DCF'!$G$32:$K$32))+'IS'!$K$17*$C24/(1+G$20)^'DCF'!$K$31+'DCF'!$D$44+'DCF'!$D$45+'DCF'!$D$46)/'DCF'!$D$48</f>
        <v/>
      </c>
      <c r="H24" s="54">
        <f>(SUMPRODUCT('DCF'!$G$30:$K$30,(1+H$20)^(-'DCF'!$G$32:$K$32))+'IS'!$K$17*$C24/(1+H$20)^'DCF'!$K$31+'DCF'!$D$44+'DCF'!$D$45+'DCF'!$D$46)/'DCF'!$D$48</f>
        <v/>
      </c>
    </row>
    <row r="25">
      <c r="C25" s="76">
        <f>'Inputs'!$D$13+(2)*$D$7</f>
        <v/>
      </c>
      <c r="D25" s="54">
        <f>(SUMPRODUCT('DCF'!$G$30:$K$30,(1+D$20)^(-'DCF'!$G$32:$K$32))+'IS'!$K$17*$C25/(1+D$20)^'DCF'!$K$31+'DCF'!$D$44+'DCF'!$D$45+'DCF'!$D$46)/'DCF'!$D$48</f>
        <v/>
      </c>
      <c r="E25" s="54">
        <f>(SUMPRODUCT('DCF'!$G$30:$K$30,(1+E$20)^(-'DCF'!$G$32:$K$32))+'IS'!$K$17*$C25/(1+E$20)^'DCF'!$K$31+'DCF'!$D$44+'DCF'!$D$45+'DCF'!$D$46)/'DCF'!$D$48</f>
        <v/>
      </c>
      <c r="F25" s="54">
        <f>(SUMPRODUCT('DCF'!$G$30:$K$30,(1+F$20)^(-'DCF'!$G$32:$K$32))+'IS'!$K$17*$C25/(1+F$20)^'DCF'!$K$31+'DCF'!$D$44+'DCF'!$D$45+'DCF'!$D$46)/'DCF'!$D$48</f>
        <v/>
      </c>
      <c r="G25" s="54">
        <f>(SUMPRODUCT('DCF'!$G$30:$K$30,(1+G$20)^(-'DCF'!$G$32:$K$32))+'IS'!$K$17*$C25/(1+G$20)^'DCF'!$K$31+'DCF'!$D$44+'DCF'!$D$45+'DCF'!$D$46)/'DCF'!$D$48</f>
        <v/>
      </c>
      <c r="H25" s="54">
        <f>(SUMPRODUCT('DCF'!$G$30:$K$30,(1+H$20)^(-'DCF'!$G$32:$K$32))+'IS'!$K$17*$C25/(1+H$20)^'DCF'!$K$31+'DCF'!$D$44+'DCF'!$D$45+'DCF'!$D$46)/'DCF'!$D$48</f>
        <v/>
      </c>
    </row>
    <row r="27">
      <c r="B27" s="23" t="inlineStr">
        <is>
          <t>LBO sponsor IRR (exit fixed at 8.0x)</t>
        </is>
      </c>
      <c r="C27" s="23" t="n"/>
      <c r="D27" s="23" t="n"/>
      <c r="E27" s="23" t="n"/>
      <c r="F27" s="23" t="n"/>
      <c r="G27" s="23" t="n"/>
      <c r="H27" s="23" t="n"/>
    </row>
    <row r="28">
      <c r="B28" s="15" t="inlineStr">
        <is>
          <t>Engine values: each cell re-runs the full debt waterfall (path-dependent, so not expressible as a single-cell formula).</t>
        </is>
      </c>
    </row>
    <row r="29">
      <c r="C29" s="73" t="inlineStr">
        <is>
          <t>Entry EV/EBITDA ↓ / Debt % of entry EV →</t>
        </is>
      </c>
      <c r="D29" s="74" t="n">
        <v>0.3</v>
      </c>
      <c r="E29" s="74" t="n">
        <v>0.4</v>
      </c>
      <c r="F29" s="74" t="n">
        <v>0.5</v>
      </c>
      <c r="G29" s="74" t="n">
        <v>0.6</v>
      </c>
      <c r="H29" s="74" t="n">
        <v>0.7</v>
      </c>
    </row>
    <row r="30">
      <c r="C30" s="76" t="n">
        <v>6</v>
      </c>
      <c r="D30" s="77" t="n">
        <v>0.1267282386708029</v>
      </c>
      <c r="E30" s="77" t="n">
        <v>0.1334239089326365</v>
      </c>
      <c r="F30" s="77" t="n">
        <v>0.1408011513357996</v>
      </c>
      <c r="G30" s="77" t="n">
        <v>0.1498586391985372</v>
      </c>
      <c r="H30" s="77" t="n">
        <v>0.1610582380642518</v>
      </c>
    </row>
    <row r="31">
      <c r="C31" s="76" t="n">
        <v>7</v>
      </c>
      <c r="D31" s="77" t="n">
        <v>0.097262710834293</v>
      </c>
      <c r="E31" s="77" t="n">
        <v>0.1016716961180281</v>
      </c>
      <c r="F31" s="77" t="n">
        <v>0.1068540389733607</v>
      </c>
      <c r="G31" s="77" t="n">
        <v>0.1133899267402375</v>
      </c>
      <c r="H31" s="77" t="n">
        <v>0.1216305053064206</v>
      </c>
    </row>
    <row r="32">
      <c r="C32" s="76" t="n">
        <v>8</v>
      </c>
      <c r="D32" s="77" t="n">
        <v>0.07035923042381903</v>
      </c>
      <c r="E32" s="77" t="n">
        <v>0.07218599943091242</v>
      </c>
      <c r="F32" s="78" t="n">
        <v>0.07474803462264387</v>
      </c>
      <c r="G32" s="77" t="n">
        <v>0.07797223994810332</v>
      </c>
      <c r="H32" s="77" t="n">
        <v>0.08215395663431987</v>
      </c>
    </row>
    <row r="33">
      <c r="C33" s="76" t="n">
        <v>9</v>
      </c>
      <c r="D33" s="77" t="n">
        <v>0.04529088152736216</v>
      </c>
      <c r="E33" s="77" t="n">
        <v>0.04461824250731292</v>
      </c>
      <c r="F33" s="77" t="n">
        <v>0.04396802648847364</v>
      </c>
      <c r="G33" s="77" t="n">
        <v>0.04312998015204352</v>
      </c>
      <c r="H33" s="77" t="n">
        <v>0.04200896394922888</v>
      </c>
    </row>
    <row r="34">
      <c r="C34" s="76" t="n">
        <v>10</v>
      </c>
      <c r="D34" s="77" t="n">
        <v>0.0219269850611817</v>
      </c>
      <c r="E34" s="77" t="n">
        <v>0.01847297208023514</v>
      </c>
      <c r="F34" s="77" t="n">
        <v>0.01413737015365763</v>
      </c>
      <c r="G34" s="77" t="n">
        <v>0.008402837244539062</v>
      </c>
      <c r="H34" s="77" t="n">
        <v>0.0004582229753213499</v>
      </c>
    </row>
    <row r="36">
      <c r="B36" s="23" t="inlineStr">
        <is>
          <t>LBO sponsor MOIC (exit fixed at 8.0x)</t>
        </is>
      </c>
      <c r="C36" s="23" t="n"/>
      <c r="D36" s="23" t="n"/>
      <c r="E36" s="23" t="n"/>
      <c r="F36" s="23" t="n"/>
      <c r="G36" s="23" t="n"/>
      <c r="H36" s="23" t="n"/>
    </row>
    <row r="37">
      <c r="B37" s="15" t="inlineStr">
        <is>
          <t>Engine values: each cell re-runs the full debt waterfall (path-dependent, so not expressible as a single-cell formula).</t>
        </is>
      </c>
    </row>
    <row r="38">
      <c r="C38" s="73" t="inlineStr">
        <is>
          <t>Entry EV/EBITDA ↓ / Debt % of entry EV →</t>
        </is>
      </c>
      <c r="D38" s="74" t="n">
        <v>0.3</v>
      </c>
      <c r="E38" s="74" t="n">
        <v>0.4</v>
      </c>
      <c r="F38" s="74" t="n">
        <v>0.5</v>
      </c>
      <c r="G38" s="74" t="n">
        <v>0.6</v>
      </c>
      <c r="H38" s="74" t="n">
        <v>0.7</v>
      </c>
    </row>
    <row r="39">
      <c r="C39" s="76" t="n">
        <v>6</v>
      </c>
      <c r="D39" s="79" t="n">
        <v>1.815916583869903</v>
      </c>
      <c r="E39" s="79" t="n">
        <v>1.870517811630952</v>
      </c>
      <c r="F39" s="79" t="n">
        <v>1.93218966185131</v>
      </c>
      <c r="G39" s="79" t="n">
        <v>2.010121287099423</v>
      </c>
      <c r="H39" s="79" t="n">
        <v>2.109939590963575</v>
      </c>
    </row>
    <row r="40">
      <c r="C40" s="76" t="n">
        <v>7</v>
      </c>
      <c r="D40" s="79" t="n">
        <v>1.59057115544458</v>
      </c>
      <c r="E40" s="79" t="n">
        <v>1.622784903603606</v>
      </c>
      <c r="F40" s="79" t="n">
        <v>1.661314175795518</v>
      </c>
      <c r="G40" s="79" t="n">
        <v>1.710946535865443</v>
      </c>
      <c r="H40" s="79" t="n">
        <v>1.775207246488291</v>
      </c>
    </row>
    <row r="41">
      <c r="C41" s="76" t="n">
        <v>8</v>
      </c>
      <c r="D41" s="79" t="n">
        <v>1.404907700941968</v>
      </c>
      <c r="E41" s="79" t="n">
        <v>1.416937386909781</v>
      </c>
      <c r="F41" s="80" t="n">
        <v>1.433947654717976</v>
      </c>
      <c r="G41" s="79" t="n">
        <v>1.455586050551184</v>
      </c>
      <c r="H41" s="79" t="n">
        <v>1.484038809301801</v>
      </c>
    </row>
    <row r="42">
      <c r="C42" s="76" t="n">
        <v>9</v>
      </c>
      <c r="D42" s="79" t="n">
        <v>1.247917311457946</v>
      </c>
      <c r="E42" s="79" t="n">
        <v>1.243907335560138</v>
      </c>
      <c r="F42" s="79" t="n">
        <v>1.240040840675878</v>
      </c>
      <c r="G42" s="79" t="n">
        <v>1.235071605327414</v>
      </c>
      <c r="H42" s="79" t="n">
        <v>1.228449407430064</v>
      </c>
    </row>
    <row r="43">
      <c r="C43" s="76" t="n">
        <v>10</v>
      </c>
      <c r="D43" s="79" t="n">
        <v>1.114549436297481</v>
      </c>
      <c r="E43" s="79" t="n">
        <v>1.095840990858461</v>
      </c>
      <c r="F43" s="79" t="n">
        <v>1.072713959255815</v>
      </c>
      <c r="G43" s="79" t="n">
        <v>1.042726221090938</v>
      </c>
      <c r="H43" s="79" t="n">
        <v>1.002293215523312</v>
      </c>
    </row>
  </sheetData>
  <conditionalFormatting sqref="D12:H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1: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0:H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9:H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34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4" t="inlineStr">
        <is>
          <t>Apple Inc.: Scenario Analysis</t>
        </is>
      </c>
    </row>
    <row r="2">
      <c r="B2" s="15" t="inlineStr">
        <is>
          <t>Engine values: each scenario re-runs the full projection, DCF and LBO with the overrides in config/scenarios.json.</t>
        </is>
      </c>
    </row>
    <row r="4">
      <c r="B4" s="23" t="inlineStr">
        <is>
          <t>Key assumptions</t>
        </is>
      </c>
      <c r="C4" s="23" t="n"/>
      <c r="D4" s="23" t="n"/>
      <c r="E4" s="23" t="n"/>
      <c r="F4" s="23" t="n"/>
      <c r="G4" s="23" t="n"/>
    </row>
    <row r="5">
      <c r="C5" s="81" t="inlineStr">
        <is>
          <t>Base</t>
        </is>
      </c>
      <c r="D5" s="81" t="inlineStr">
        <is>
          <t>Bull</t>
        </is>
      </c>
      <c r="E5" s="81" t="inlineStr">
        <is>
          <t>Bear</t>
        </is>
      </c>
      <c r="F5" s="82" t="inlineStr">
        <is>
          <t>Bull vs Base</t>
        </is>
      </c>
      <c r="G5" s="82" t="inlineStr">
        <is>
          <t>Bear vs Base</t>
        </is>
      </c>
    </row>
    <row r="6">
      <c r="B6" s="3" t="inlineStr">
        <is>
          <t>Average revenue growth</t>
        </is>
      </c>
      <c r="C6" s="83" t="n">
        <v>0.035</v>
      </c>
      <c r="D6" s="83" t="n">
        <v>0.062</v>
      </c>
      <c r="E6" s="83" t="n">
        <v>-0.016</v>
      </c>
    </row>
    <row r="7">
      <c r="B7" s="3" t="inlineStr">
        <is>
          <t>Average gross margin</t>
        </is>
      </c>
      <c r="C7" s="83" t="n">
        <v>0.396</v>
      </c>
      <c r="D7" s="83" t="n">
        <v>0.4050000000000001</v>
      </c>
      <c r="E7" s="83" t="n">
        <v>0.378</v>
      </c>
    </row>
    <row r="8">
      <c r="B8" s="3" t="inlineStr">
        <is>
          <t>LBO exit EV / EBITDA</t>
        </is>
      </c>
      <c r="C8" s="84" t="n">
        <v>8</v>
      </c>
      <c r="D8" s="84" t="n">
        <v>9.5</v>
      </c>
      <c r="E8" s="84" t="n">
        <v>6.5</v>
      </c>
    </row>
    <row r="9">
      <c r="B9" s="3" t="inlineStr">
        <is>
          <t>DCF terminal EV / EBITDA</t>
        </is>
      </c>
      <c r="C9" s="84" t="n">
        <v>10</v>
      </c>
      <c r="D9" s="84" t="n">
        <v>10</v>
      </c>
      <c r="E9" s="84" t="n">
        <v>8</v>
      </c>
    </row>
    <row r="10">
      <c r="B10" s="3" t="inlineStr">
        <is>
          <t>Offshore cash repatriated at close</t>
        </is>
      </c>
      <c r="C10" s="83" t="n">
        <v>0</v>
      </c>
      <c r="D10" s="83" t="n">
        <v>1</v>
      </c>
      <c r="E10" s="83" t="n">
        <v>0</v>
      </c>
    </row>
    <row r="11">
      <c r="B11" s="3" t="inlineStr">
        <is>
          <t>Repatriation tax rate</t>
        </is>
      </c>
      <c r="C11" s="83" t="n">
        <v>0.3278688524590164</v>
      </c>
      <c r="D11" s="83" t="n">
        <v>0.14</v>
      </c>
      <c r="E11" s="83" t="n">
        <v>0.3278688524590164</v>
      </c>
    </row>
    <row r="13">
      <c r="B13" s="23" t="inlineStr">
        <is>
          <t>Outputs and variance vs. base</t>
        </is>
      </c>
      <c r="C13" s="23" t="n"/>
      <c r="D13" s="23" t="n"/>
      <c r="E13" s="23" t="n"/>
      <c r="F13" s="23" t="n"/>
      <c r="G13" s="23" t="n"/>
    </row>
    <row r="14">
      <c r="C14" s="81" t="inlineStr">
        <is>
          <t>Base</t>
        </is>
      </c>
      <c r="D14" s="81" t="inlineStr">
        <is>
          <t>Bull</t>
        </is>
      </c>
      <c r="E14" s="81" t="inlineStr">
        <is>
          <t>Bear</t>
        </is>
      </c>
      <c r="F14" s="82" t="inlineStr">
        <is>
          <t>Bull vs Base</t>
        </is>
      </c>
      <c r="G14" s="82" t="inlineStr">
        <is>
          <t>Bear vs Base</t>
        </is>
      </c>
    </row>
    <row r="15">
      <c r="B15" s="3" t="inlineStr">
        <is>
          <t>Revenue CAGR</t>
        </is>
      </c>
      <c r="C15" s="83" t="n">
        <v>0.03499033809660479</v>
      </c>
      <c r="D15" s="83" t="n">
        <v>0.06197359120611701</v>
      </c>
      <c r="E15" s="83" t="n">
        <v>-0.0165974499478071</v>
      </c>
      <c r="F15" s="83" t="n">
        <v>0.02698325310951222</v>
      </c>
      <c r="G15" s="83" t="n">
        <v>-0.05158778804441189</v>
      </c>
    </row>
    <row r="16">
      <c r="B16" s="3" t="inlineStr">
        <is>
          <t>Final-year revenue</t>
        </is>
      </c>
      <c r="C16" s="85" t="n">
        <v>277567.148875536</v>
      </c>
      <c r="D16" s="85" t="n">
        <v>315685.89046323</v>
      </c>
      <c r="E16" s="85" t="n">
        <v>214952.8646244</v>
      </c>
      <c r="F16" s="85" t="n">
        <v>38118.74158769398</v>
      </c>
      <c r="G16" s="85" t="n">
        <v>-62614.28425113604</v>
      </c>
    </row>
    <row r="17">
      <c r="B17" s="3" t="inlineStr">
        <is>
          <t>Final-year EBITDA</t>
        </is>
      </c>
      <c r="C17" s="85" t="n">
        <v>93262.56202218011</v>
      </c>
      <c r="D17" s="85" t="n">
        <v>110805.7475525937</v>
      </c>
      <c r="E17" s="85" t="n">
        <v>68999.8695444324</v>
      </c>
      <c r="F17" s="85" t="n">
        <v>17543.18553041364</v>
      </c>
      <c r="G17" s="85" t="n">
        <v>-24262.69247774771</v>
      </c>
    </row>
    <row r="18">
      <c r="B18" s="3" t="inlineStr">
        <is>
          <t>Final-year EBITDA margin</t>
        </is>
      </c>
      <c r="C18" s="83" t="n">
        <v>0.336</v>
      </c>
      <c r="D18" s="83" t="n">
        <v>0.351</v>
      </c>
      <c r="E18" s="83" t="n">
        <v>0.321</v>
      </c>
      <c r="F18" s="83" t="n">
        <v>0.01500000000000007</v>
      </c>
      <c r="G18" s="83" t="n">
        <v>-0.01500000000000001</v>
      </c>
    </row>
    <row r="19">
      <c r="B19" s="3" t="inlineStr">
        <is>
          <t>Cumulative unlevered FCF</t>
        </is>
      </c>
      <c r="C19" s="85" t="n">
        <v>281473.9321983205</v>
      </c>
      <c r="D19" s="85" t="n">
        <v>318855.7639740271</v>
      </c>
      <c r="E19" s="85" t="n">
        <v>210903.1533106588</v>
      </c>
      <c r="F19" s="85" t="n">
        <v>37381.83177570655</v>
      </c>
      <c r="G19" s="85" t="n">
        <v>-70570.7788876617</v>
      </c>
    </row>
    <row r="20">
      <c r="B20" s="3" t="inlineStr">
        <is>
          <t>DCF price: Gordon Growth</t>
        </is>
      </c>
      <c r="C20" s="86" t="n">
        <v>206.9189812467564</v>
      </c>
      <c r="D20" s="86" t="n">
        <v>248.770517660629</v>
      </c>
      <c r="E20" s="86" t="n">
        <v>154.6499110249284</v>
      </c>
      <c r="F20" s="86" t="n">
        <v>41.85153641387259</v>
      </c>
      <c r="G20" s="86" t="n">
        <v>-52.269070221828</v>
      </c>
    </row>
    <row r="21">
      <c r="B21" s="3" t="inlineStr">
        <is>
          <t>DCF price: Exit Multiple</t>
        </is>
      </c>
      <c r="C21" s="86" t="n">
        <v>171.574726698004</v>
      </c>
      <c r="D21" s="86" t="n">
        <v>204.8944651289734</v>
      </c>
      <c r="E21" s="86" t="n">
        <v>114.0559040775373</v>
      </c>
      <c r="F21" s="86" t="n">
        <v>33.31973843096932</v>
      </c>
      <c r="G21" s="86" t="n">
        <v>-57.51882262046669</v>
      </c>
    </row>
    <row r="22">
      <c r="B22" s="3" t="inlineStr">
        <is>
          <t>Sponsor equity</t>
        </is>
      </c>
      <c r="C22" s="85" t="n">
        <v>540045.92</v>
      </c>
      <c r="D22" s="85" t="n">
        <v>379311.92</v>
      </c>
      <c r="E22" s="85" t="n">
        <v>540045.92</v>
      </c>
      <c r="F22" s="85" t="n">
        <v>-160734</v>
      </c>
      <c r="G22" s="85" t="n">
        <v>0</v>
      </c>
    </row>
    <row r="23">
      <c r="B23" s="3" t="inlineStr">
        <is>
          <t>Exit equity</t>
        </is>
      </c>
      <c r="C23" s="85" t="n">
        <v>774397.5804240117</v>
      </c>
      <c r="D23" s="85" t="n">
        <v>994881.2313670708</v>
      </c>
      <c r="E23" s="85" t="n">
        <v>400975.1982830279</v>
      </c>
      <c r="F23" s="85" t="n">
        <v>220483.6509430591</v>
      </c>
      <c r="G23" s="85" t="n">
        <v>-373422.3821409838</v>
      </c>
    </row>
    <row r="24">
      <c r="B24" s="5" t="inlineStr">
        <is>
          <t>Sponsor MOIC</t>
        </is>
      </c>
      <c r="C24" s="87" t="n">
        <v>1.433947654717976</v>
      </c>
      <c r="D24" s="87" t="n">
        <v>2.622857808863667</v>
      </c>
      <c r="E24" s="87" t="n">
        <v>0.7424835248880833</v>
      </c>
      <c r="F24" s="87" t="n">
        <v>1.188910154145691</v>
      </c>
      <c r="G24" s="87" t="n">
        <v>-0.6914641298298926</v>
      </c>
    </row>
    <row r="25">
      <c r="B25" s="5" t="inlineStr">
        <is>
          <t>Sponsor IRR</t>
        </is>
      </c>
      <c r="C25" s="88" t="n">
        <v>0.07474803462264387</v>
      </c>
      <c r="D25" s="88" t="n">
        <v>0.2127043891472203</v>
      </c>
      <c r="E25" s="88" t="n">
        <v>-0.05781244333495128</v>
      </c>
      <c r="F25" s="88" t="n">
        <v>0.1379563545245764</v>
      </c>
      <c r="G25" s="88" t="n">
        <v>-0.1325604779575952</v>
      </c>
    </row>
    <row r="26">
      <c r="B26" s="3" t="inlineStr">
        <is>
          <t>Peak Debt / EBITDA</t>
        </is>
      </c>
      <c r="C26" s="84" t="n">
        <v>3.496098418413838</v>
      </c>
      <c r="D26" s="84" t="n">
        <v>3.315986186713864</v>
      </c>
      <c r="E26" s="84" t="n">
        <v>4.229321146119196</v>
      </c>
      <c r="F26" s="84" t="n">
        <v>-0.1801122316999733</v>
      </c>
      <c r="G26" s="84" t="n">
        <v>0.7332227277053587</v>
      </c>
    </row>
    <row r="27">
      <c r="B27" s="3" t="inlineStr">
        <is>
          <t>Min EBITDA cushion: leverage covenant</t>
        </is>
      </c>
      <c r="C27" s="83" t="n">
        <v>0.3007803163172325</v>
      </c>
      <c r="D27" s="83" t="n">
        <v>0.3368027626572271</v>
      </c>
      <c r="E27" s="83" t="n">
        <v>0.1541357707761607</v>
      </c>
      <c r="F27" s="83" t="n">
        <v>0.03602244633999463</v>
      </c>
      <c r="G27" s="83" t="n">
        <v>-0.1466445455410718</v>
      </c>
    </row>
    <row r="28">
      <c r="B28" s="3" t="inlineStr">
        <is>
          <t>Min EBITDA cushion: coverage covenant</t>
        </is>
      </c>
      <c r="C28" s="83" t="n">
        <v>0.2636275463391562</v>
      </c>
      <c r="D28" s="83" t="n">
        <v>0.2945746564399757</v>
      </c>
      <c r="E28" s="83" t="n">
        <v>0.1385582988887544</v>
      </c>
      <c r="F28" s="83" t="n">
        <v>0.03094711010081952</v>
      </c>
      <c r="G28" s="83" t="n">
        <v>-0.1250692474504018</v>
      </c>
    </row>
    <row r="29">
      <c r="B29" s="3" t="inlineStr">
        <is>
          <t>Acquisition debt repaid by exit</t>
        </is>
      </c>
      <c r="C29" s="83" t="n">
        <v>0.6747238133619873</v>
      </c>
      <c r="D29" s="83" t="n">
        <v>0.7945937833156441</v>
      </c>
      <c r="E29" s="83" t="n">
        <v>0.4449268817171417</v>
      </c>
      <c r="F29" s="83" t="n">
        <v>0.1198699699536568</v>
      </c>
      <c r="G29" s="83" t="n">
        <v>-0.2297969316448456</v>
      </c>
    </row>
    <row r="31">
      <c r="B31" s="23" t="inlineStr">
        <is>
          <t>Recommendation: PASS</t>
        </is>
      </c>
      <c r="C31" s="23" t="n"/>
      <c r="D31" s="23" t="n"/>
      <c r="E31" s="23" t="n"/>
      <c r="F31" s="23" t="n"/>
      <c r="G31" s="23" t="n"/>
    </row>
    <row r="32">
      <c r="B32" s="3" t="inlineStr">
        <is>
          <t>Base-case IRR 7.5% vs. 20% hurdle</t>
        </is>
      </c>
      <c r="C32" s="89" t="inlineStr">
        <is>
          <t>Not met</t>
        </is>
      </c>
    </row>
    <row r="33">
      <c r="B33" s="3" t="inlineStr">
        <is>
          <t>Base-case MOIC 1.43x vs. 2.0x minimum</t>
        </is>
      </c>
      <c r="C33" s="89" t="inlineStr">
        <is>
          <t>Not met</t>
        </is>
      </c>
    </row>
    <row r="34">
      <c r="B34" s="3" t="inlineStr">
        <is>
          <t>Base-case maintenance covenants met in every year (minimum EBITDA cushion 26%)</t>
        </is>
      </c>
      <c r="C34" s="90" t="inlineStr">
        <is>
          <t>Met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D3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14" customWidth="1" min="3" max="3"/>
    <col width="10" customWidth="1" min="4" max="4"/>
  </cols>
  <sheetData>
    <row r="1">
      <c r="B1" s="14" t="inlineStr">
        <is>
          <t>Apple Inc.: Model Integrity Checks</t>
        </is>
      </c>
    </row>
    <row r="2">
      <c r="B2" s="15" t="inlineStr">
        <is>
          <t>Every check must be zero (within $0.5M). Flag 1 = error.</t>
        </is>
      </c>
    </row>
    <row r="4">
      <c r="B4" s="5" t="inlineStr">
        <is>
          <t>MASTER CHECK</t>
        </is>
      </c>
      <c r="C4" s="90">
        <f>IF(SUM(D6:D31)=0,"OK","ERROR")</f>
        <v/>
      </c>
    </row>
    <row r="5">
      <c r="B5" s="20" t="inlineStr">
        <is>
          <t>Check</t>
        </is>
      </c>
      <c r="C5" s="20" t="inlineStr">
        <is>
          <t>Difference</t>
        </is>
      </c>
      <c r="D5" s="20" t="inlineStr">
        <is>
          <t>Flag</t>
        </is>
      </c>
    </row>
    <row r="6">
      <c r="B6" t="inlineStr">
        <is>
          <t>IS: Check: segments - net sales FY2013</t>
        </is>
      </c>
      <c r="C6" s="53">
        <f>'IS'!D36</f>
        <v/>
      </c>
      <c r="D6" s="91">
        <f>IF(ABS(C6)&lt;0.5,0,1)</f>
        <v/>
      </c>
    </row>
    <row r="7">
      <c r="B7" t="inlineStr">
        <is>
          <t>IS: Check: segments - net sales FY2014</t>
        </is>
      </c>
      <c r="C7" s="53">
        <f>'IS'!E36</f>
        <v/>
      </c>
      <c r="D7" s="91">
        <f>IF(ABS(C7)&lt;0.5,0,1)</f>
        <v/>
      </c>
    </row>
    <row r="8">
      <c r="B8" t="inlineStr">
        <is>
          <t>IS: Check: segments - net sales FY2015</t>
        </is>
      </c>
      <c r="C8" s="53">
        <f>'IS'!F36</f>
        <v/>
      </c>
      <c r="D8" s="91">
        <f>IF(ABS(C8)&lt;0.5,0,1)</f>
        <v/>
      </c>
    </row>
    <row r="9">
      <c r="B9" t="inlineStr">
        <is>
          <t>IS: Check: segments - net sales FY2013</t>
        </is>
      </c>
      <c r="C9" s="53">
        <f>'IS'!D45</f>
        <v/>
      </c>
      <c r="D9" s="91">
        <f>IF(ABS(C9)&lt;0.5,0,1)</f>
        <v/>
      </c>
    </row>
    <row r="10">
      <c r="B10" t="inlineStr">
        <is>
          <t>IS: Check: segments - net sales FY2014</t>
        </is>
      </c>
      <c r="C10" s="53">
        <f>'IS'!E45</f>
        <v/>
      </c>
      <c r="D10" s="91">
        <f>IF(ABS(C10)&lt;0.5,0,1)</f>
        <v/>
      </c>
    </row>
    <row r="11">
      <c r="B11" t="inlineStr">
        <is>
          <t>IS: Check: segments - net sales FY2015</t>
        </is>
      </c>
      <c r="C11" s="53">
        <f>'IS'!F45</f>
        <v/>
      </c>
      <c r="D11" s="91">
        <f>IF(ABS(C11)&lt;0.5,0,1)</f>
        <v/>
      </c>
    </row>
    <row r="12">
      <c r="B12" t="inlineStr">
        <is>
          <t>BS: Check: Assets - (Liabilities + Equity) FY2014</t>
        </is>
      </c>
      <c r="C12" s="53">
        <f>'BS'!E40</f>
        <v/>
      </c>
      <c r="D12" s="91">
        <f>IF(ABS(C12)&lt;0.5,0,1)</f>
        <v/>
      </c>
    </row>
    <row r="13">
      <c r="B13" t="inlineStr">
        <is>
          <t>BS: Check: Assets - (Liabilities + Equity) FY2015</t>
        </is>
      </c>
      <c r="C13" s="53">
        <f>'BS'!F40</f>
        <v/>
      </c>
      <c r="D13" s="91">
        <f>IF(ABS(C13)&lt;0.5,0,1)</f>
        <v/>
      </c>
    </row>
    <row r="14">
      <c r="B14" t="inlineStr">
        <is>
          <t>BS: Check: Assets - (Liabilities + Equity) FY2016</t>
        </is>
      </c>
      <c r="C14" s="53">
        <f>'BS'!G40</f>
        <v/>
      </c>
      <c r="D14" s="91">
        <f>IF(ABS(C14)&lt;0.5,0,1)</f>
        <v/>
      </c>
    </row>
    <row r="15">
      <c r="B15" t="inlineStr">
        <is>
          <t>BS: Check: Assets - (Liabilities + Equity) FY2017</t>
        </is>
      </c>
      <c r="C15" s="53">
        <f>'BS'!H40</f>
        <v/>
      </c>
      <c r="D15" s="91">
        <f>IF(ABS(C15)&lt;0.5,0,1)</f>
        <v/>
      </c>
    </row>
    <row r="16">
      <c r="B16" t="inlineStr">
        <is>
          <t>BS: Check: Assets - (Liabilities + Equity) FY2018</t>
        </is>
      </c>
      <c r="C16" s="53">
        <f>'BS'!I40</f>
        <v/>
      </c>
      <c r="D16" s="91">
        <f>IF(ABS(C16)&lt;0.5,0,1)</f>
        <v/>
      </c>
    </row>
    <row r="17">
      <c r="B17" t="inlineStr">
        <is>
          <t>BS: Check: Assets - (Liabilities + Equity) FY2019</t>
        </is>
      </c>
      <c r="C17" s="53">
        <f>'BS'!J40</f>
        <v/>
      </c>
      <c r="D17" s="91">
        <f>IF(ABS(C17)&lt;0.5,0,1)</f>
        <v/>
      </c>
    </row>
    <row r="18">
      <c r="B18" t="inlineStr">
        <is>
          <t>BS: Check: Assets - (Liabilities + Equity) FY2020</t>
        </is>
      </c>
      <c r="C18" s="53">
        <f>'BS'!K40</f>
        <v/>
      </c>
      <c r="D18" s="91">
        <f>IF(ABS(C18)&lt;0.5,0,1)</f>
        <v/>
      </c>
    </row>
    <row r="19">
      <c r="B19" t="inlineStr">
        <is>
          <t>CFS: Check: ending cash - balance sheet cash FY2014</t>
        </is>
      </c>
      <c r="C19" s="53">
        <f>'CFS'!E47</f>
        <v/>
      </c>
      <c r="D19" s="91">
        <f>IF(ABS(C19)&lt;0.5,0,1)</f>
        <v/>
      </c>
    </row>
    <row r="20">
      <c r="B20" t="inlineStr">
        <is>
          <t>CFS: Check: ending cash - balance sheet cash FY2015</t>
        </is>
      </c>
      <c r="C20" s="53">
        <f>'CFS'!F47</f>
        <v/>
      </c>
      <c r="D20" s="91">
        <f>IF(ABS(C20)&lt;0.5,0,1)</f>
        <v/>
      </c>
    </row>
    <row r="21">
      <c r="B21" t="inlineStr">
        <is>
          <t>CFS: Check: ending cash - balance sheet cash FY2016</t>
        </is>
      </c>
      <c r="C21" s="53">
        <f>'CFS'!G47</f>
        <v/>
      </c>
      <c r="D21" s="91">
        <f>IF(ABS(C21)&lt;0.5,0,1)</f>
        <v/>
      </c>
    </row>
    <row r="22">
      <c r="B22" t="inlineStr">
        <is>
          <t>CFS: Check: ending cash - balance sheet cash FY2017</t>
        </is>
      </c>
      <c r="C22" s="53">
        <f>'CFS'!H47</f>
        <v/>
      </c>
      <c r="D22" s="91">
        <f>IF(ABS(C22)&lt;0.5,0,1)</f>
        <v/>
      </c>
    </row>
    <row r="23">
      <c r="B23" t="inlineStr">
        <is>
          <t>CFS: Check: ending cash - balance sheet cash FY2018</t>
        </is>
      </c>
      <c r="C23" s="53">
        <f>'CFS'!I47</f>
        <v/>
      </c>
      <c r="D23" s="91">
        <f>IF(ABS(C23)&lt;0.5,0,1)</f>
        <v/>
      </c>
    </row>
    <row r="24">
      <c r="B24" t="inlineStr">
        <is>
          <t>CFS: Check: ending cash - balance sheet cash FY2019</t>
        </is>
      </c>
      <c r="C24" s="53">
        <f>'CFS'!J47</f>
        <v/>
      </c>
      <c r="D24" s="91">
        <f>IF(ABS(C24)&lt;0.5,0,1)</f>
        <v/>
      </c>
    </row>
    <row r="25">
      <c r="B25" t="inlineStr">
        <is>
          <t>CFS: Check: ending cash - balance sheet cash FY2020</t>
        </is>
      </c>
      <c r="C25" s="53">
        <f>'CFS'!K47</f>
        <v/>
      </c>
      <c r="D25" s="91">
        <f>IF(ABS(C25)&lt;0.5,0,1)</f>
        <v/>
      </c>
    </row>
    <row r="26">
      <c r="B26" t="inlineStr">
        <is>
          <t>CFS: Check: CFS net income - IS net income FY2013</t>
        </is>
      </c>
      <c r="C26" s="53">
        <f>'CFS'!D48</f>
        <v/>
      </c>
      <c r="D26" s="91">
        <f>IF(ABS(C26)&lt;0.5,0,1)</f>
        <v/>
      </c>
    </row>
    <row r="27">
      <c r="B27" t="inlineStr">
        <is>
          <t>CFS: Check: CFS net income - IS net income FY2014</t>
        </is>
      </c>
      <c r="C27" s="53">
        <f>'CFS'!E48</f>
        <v/>
      </c>
      <c r="D27" s="91">
        <f>IF(ABS(C27)&lt;0.5,0,1)</f>
        <v/>
      </c>
    </row>
    <row r="28">
      <c r="B28" t="inlineStr">
        <is>
          <t>CFS: Check: CFS net income - IS net income FY2015</t>
        </is>
      </c>
      <c r="C28" s="53">
        <f>'CFS'!F48</f>
        <v/>
      </c>
      <c r="D28" s="91">
        <f>IF(ABS(C28)&lt;0.5,0,1)</f>
        <v/>
      </c>
    </row>
    <row r="29">
      <c r="B29" t="inlineStr">
        <is>
          <t>Debt: Check: tranches - reported total</t>
        </is>
      </c>
      <c r="C29" s="53">
        <f>'Debt'!D39</f>
        <v/>
      </c>
      <c r="D29" s="91">
        <f>IF(ABS(C29)&lt;0.5,0,1)</f>
        <v/>
      </c>
    </row>
    <row r="30">
      <c r="B30" t="inlineStr">
        <is>
          <t>Debt: Check: carrying value - balance sheet</t>
        </is>
      </c>
      <c r="C30" s="53">
        <f>'Debt'!D44</f>
        <v/>
      </c>
      <c r="D30" s="91">
        <f>IF(ABS(C30)&lt;0.5,0,1)</f>
        <v/>
      </c>
    </row>
    <row r="31">
      <c r="B31" t="inlineStr">
        <is>
          <t>LBO: Check: sources - uses</t>
        </is>
      </c>
      <c r="C31" s="53">
        <f>'LBO'!D41</f>
        <v/>
      </c>
      <c r="D31" s="91">
        <f>IF(ABS(C31)&lt;0.5,0,1)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2026-10-23T19:20:08Z</dcterms:created>
  <dcterms:modified xsi:type="dcterms:W3CDTF">2026-10-23T19:20:09Z</dcterms:modified>
</cp:coreProperties>
</file>